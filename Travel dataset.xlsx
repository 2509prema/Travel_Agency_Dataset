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0A5C0972-D749-4FFC-85F8-C024C79B4426}" xr6:coauthVersionLast="47" xr6:coauthVersionMax="47" xr10:uidLastSave="{00000000-0000-0000-0000-000000000000}"/>
  <bookViews>
    <workbookView xWindow="-120" yWindow="-120" windowWidth="20730" windowHeight="11160" activeTab="2" xr2:uid="{00000000-000D-0000-FFFF-FFFF00000000}"/>
  </bookViews>
  <sheets>
    <sheet name="Travel details dataset" sheetId="1" r:id="rId1"/>
    <sheet name="Pivot Table" sheetId="2" r:id="rId2"/>
    <sheet name="Dashboaard" sheetId="3" r:id="rId3"/>
  </sheets>
  <definedNames>
    <definedName name="Slicer_Accommodation_cost">#N/A</definedName>
    <definedName name="Slicer_Destination">#N/A</definedName>
    <definedName name="Slicer_Duration__days">#N/A</definedName>
    <definedName name="Slicer_Transportation_cost">#N/A</definedName>
    <definedName name="Slicer_Transportation_type">#N/A</definedName>
    <definedName name="Slicer_Trip_ID">#N/A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<sst xmlns="http://schemas.openxmlformats.org/spreadsheetml/2006/main" count="971" uniqueCount="259">
  <si>
    <t>Row Labels</t>
  </si>
  <si>
    <t>Sum of Trip ID</t>
  </si>
  <si>
    <t>Sum of Duration (days)</t>
  </si>
  <si>
    <t>Amsterdam, Netherlands</t>
  </si>
  <si>
    <t>Ana Hernandez</t>
  </si>
  <si>
    <t>Bali, Indonesia</t>
  </si>
  <si>
    <t>Carlos Garcia</t>
  </si>
  <si>
    <t>Barcelona, Spain</t>
  </si>
  <si>
    <t>David Lee</t>
  </si>
  <si>
    <t>Berlin, Germany</t>
  </si>
  <si>
    <t>Emily Davis</t>
  </si>
  <si>
    <t>Cancun, Mexico</t>
  </si>
  <si>
    <t>Fatima Khouri</t>
  </si>
  <si>
    <t>Dubai, United Arab Emirates</t>
  </si>
  <si>
    <t>Hans Mueller</t>
  </si>
  <si>
    <t>Honolulu, Hawaii</t>
  </si>
  <si>
    <t>Jane Doe</t>
  </si>
  <si>
    <t>London, UK</t>
  </si>
  <si>
    <t>John Smith</t>
  </si>
  <si>
    <t>Marrakech, Morocco</t>
  </si>
  <si>
    <t>Kim Nguyen</t>
  </si>
  <si>
    <t>New York, USA</t>
  </si>
  <si>
    <t>Laura Janssen</t>
  </si>
  <si>
    <t>Paris, France</t>
  </si>
  <si>
    <t>Lily Wong</t>
  </si>
  <si>
    <t>Phuket, Thailand</t>
  </si>
  <si>
    <t>Lucas Santos</t>
  </si>
  <si>
    <t>Rio de Janeiro, Brazil</t>
  </si>
  <si>
    <t>Michael Brown</t>
  </si>
  <si>
    <t>Sydney, Australia</t>
  </si>
  <si>
    <t>Mohammed Ali</t>
  </si>
  <si>
    <t>Tokyo, Japan</t>
  </si>
  <si>
    <t>Sarah Johnson</t>
  </si>
  <si>
    <t>Grand Total</t>
  </si>
  <si>
    <t>Sum of Accommodation cost</t>
  </si>
  <si>
    <t>Sum of Transportation cost</t>
  </si>
  <si>
    <t>Sum of Traveler age</t>
  </si>
  <si>
    <t>Accommodation Cost</t>
  </si>
  <si>
    <t>Transportation Cost</t>
  </si>
  <si>
    <t>Flight</t>
  </si>
  <si>
    <t>Duration</t>
  </si>
  <si>
    <t>Train</t>
  </si>
  <si>
    <t>Trip ID</t>
  </si>
  <si>
    <t>Destination</t>
  </si>
  <si>
    <t>Start date</t>
  </si>
  <si>
    <t>End date</t>
  </si>
  <si>
    <t>Duration (days)</t>
  </si>
  <si>
    <t>Traveler name</t>
  </si>
  <si>
    <t>Traveler age</t>
  </si>
  <si>
    <t>Traveler gender</t>
  </si>
  <si>
    <t>Traveler nationality</t>
  </si>
  <si>
    <t>Accommodation type</t>
  </si>
  <si>
    <t>Accommodation cost</t>
  </si>
  <si>
    <t>Transportation type</t>
  </si>
  <si>
    <t>Transportation cost</t>
  </si>
  <si>
    <t>Male</t>
  </si>
  <si>
    <t>American</t>
  </si>
  <si>
    <t>Hotel</t>
  </si>
  <si>
    <t>Female</t>
  </si>
  <si>
    <t>Canadian</t>
  </si>
  <si>
    <t>Resort</t>
  </si>
  <si>
    <t>Korean</t>
  </si>
  <si>
    <t>Villa</t>
  </si>
  <si>
    <t>British</t>
  </si>
  <si>
    <t>Vietnamese</t>
  </si>
  <si>
    <t>Airbnb</t>
  </si>
  <si>
    <t>Australian</t>
  </si>
  <si>
    <t>Hostel</t>
  </si>
  <si>
    <t>Brazilian</t>
  </si>
  <si>
    <t>Dutch</t>
  </si>
  <si>
    <t>Emirati</t>
  </si>
  <si>
    <t>Mexican</t>
  </si>
  <si>
    <t>Spanish</t>
  </si>
  <si>
    <t>Chinese</t>
  </si>
  <si>
    <t>German</t>
  </si>
  <si>
    <t>Moroccan</t>
  </si>
  <si>
    <t>Riad</t>
  </si>
  <si>
    <t>Edinburgh, Scotland</t>
  </si>
  <si>
    <t>James MacKenzie</t>
  </si>
  <si>
    <t>Scottish</t>
  </si>
  <si>
    <t>Paris</t>
  </si>
  <si>
    <t>Plane</t>
  </si>
  <si>
    <t>Bali</t>
  </si>
  <si>
    <t>Michael Chang</t>
  </si>
  <si>
    <t>London</t>
  </si>
  <si>
    <t>Olivia Rodriguez</t>
  </si>
  <si>
    <t>Tokyo</t>
  </si>
  <si>
    <t>Kenji Nakamura</t>
  </si>
  <si>
    <t>Japanese</t>
  </si>
  <si>
    <t>New York</t>
  </si>
  <si>
    <t>Emily Lee</t>
  </si>
  <si>
    <t>Bus</t>
  </si>
  <si>
    <t>Sydney</t>
  </si>
  <si>
    <t>James Wilson</t>
  </si>
  <si>
    <t>Rome</t>
  </si>
  <si>
    <t>Sofia Russo</t>
  </si>
  <si>
    <t>Italian</t>
  </si>
  <si>
    <t>Bangkok</t>
  </si>
  <si>
    <t>Raj Patel</t>
  </si>
  <si>
    <t>Indian</t>
  </si>
  <si>
    <t>Lily Nguyen</t>
  </si>
  <si>
    <t>Hawaii</t>
  </si>
  <si>
    <t>David Kim</t>
  </si>
  <si>
    <t>Barcelona</t>
  </si>
  <si>
    <t>Maria Garcia</t>
  </si>
  <si>
    <t>Japan</t>
  </si>
  <si>
    <t>Alice Smith</t>
  </si>
  <si>
    <t>Thailand</t>
  </si>
  <si>
    <t>Bob Johnson</t>
  </si>
  <si>
    <t>France</t>
  </si>
  <si>
    <t>Charlie Lee</t>
  </si>
  <si>
    <t>Car rental</t>
  </si>
  <si>
    <t>Australia</t>
  </si>
  <si>
    <t>Emma Davis</t>
  </si>
  <si>
    <t>Brazil</t>
  </si>
  <si>
    <t>Olivia Martin</t>
  </si>
  <si>
    <t>Greece</t>
  </si>
  <si>
    <t>Harry Wilson</t>
  </si>
  <si>
    <t>Egypt</t>
  </si>
  <si>
    <t>Sophia Lee</t>
  </si>
  <si>
    <t>Mexico</t>
  </si>
  <si>
    <t>James Brown</t>
  </si>
  <si>
    <t>Italy</t>
  </si>
  <si>
    <t>Mia Johnson</t>
  </si>
  <si>
    <t>Spain</t>
  </si>
  <si>
    <t>William Davis</t>
  </si>
  <si>
    <t>Canada</t>
  </si>
  <si>
    <t>Amelia Brown</t>
  </si>
  <si>
    <t>Adam Lee</t>
  </si>
  <si>
    <t>Sarah Wong</t>
  </si>
  <si>
    <t>Maria Silva</t>
  </si>
  <si>
    <t>Peter Brown</t>
  </si>
  <si>
    <t>Emma Garcia</t>
  </si>
  <si>
    <t>New York City, USA</t>
  </si>
  <si>
    <t>Michael Davis</t>
  </si>
  <si>
    <t>Bangkok, Thailand</t>
  </si>
  <si>
    <t>Nina Patel</t>
  </si>
  <si>
    <t>Vancouver, Canada</t>
  </si>
  <si>
    <t>Kevin Kim</t>
  </si>
  <si>
    <t>Laura van den Berg</t>
  </si>
  <si>
    <t>Jennifer Nguyen</t>
  </si>
  <si>
    <t>Sydney, AUS</t>
  </si>
  <si>
    <t>Rachel Lee</t>
  </si>
  <si>
    <t>South Korean</t>
  </si>
  <si>
    <t>Jessica Wong</t>
  </si>
  <si>
    <t>Felipe Almeida</t>
  </si>
  <si>
    <t>Nisa Patel</t>
  </si>
  <si>
    <t>Ben Smith</t>
  </si>
  <si>
    <t>Laura Gomez</t>
  </si>
  <si>
    <t>Seoul, South Korea</t>
  </si>
  <si>
    <t>Park Min Woo</t>
  </si>
  <si>
    <t>Subway</t>
  </si>
  <si>
    <t>Los Angeles, USA</t>
  </si>
  <si>
    <t>Michael Chen</t>
  </si>
  <si>
    <t>Rome, Italy</t>
  </si>
  <si>
    <t>Sofia Rossi</t>
  </si>
  <si>
    <t>Rachel Sanders</t>
  </si>
  <si>
    <t>Cape Town</t>
  </si>
  <si>
    <t>Emily Watson</t>
  </si>
  <si>
    <t>Vacation rental</t>
  </si>
  <si>
    <t>Ana Rodriguez</t>
  </si>
  <si>
    <t>Tom Wilson</t>
  </si>
  <si>
    <t>Olivia Green</t>
  </si>
  <si>
    <t>French</t>
  </si>
  <si>
    <t>James Chen</t>
  </si>
  <si>
    <t>Lila Patel</t>
  </si>
  <si>
    <t>Marco Rossi</t>
  </si>
  <si>
    <t>Sarah Brown</t>
  </si>
  <si>
    <t>Sarah Lee</t>
  </si>
  <si>
    <t>500 USD</t>
  </si>
  <si>
    <t>800 USD</t>
  </si>
  <si>
    <t>Alex Kim</t>
  </si>
  <si>
    <t>1000 USD</t>
  </si>
  <si>
    <t>200 USD</t>
  </si>
  <si>
    <t>Maria Hernandez</t>
  </si>
  <si>
    <t>1200 USD</t>
  </si>
  <si>
    <t>700 USD</t>
  </si>
  <si>
    <t>Cape Town, SA</t>
  </si>
  <si>
    <t>Mark Johnson</t>
  </si>
  <si>
    <t>South African</t>
  </si>
  <si>
    <t>Guesthouse</t>
  </si>
  <si>
    <t>400 USD</t>
  </si>
  <si>
    <t>Car</t>
  </si>
  <si>
    <t>300 USD</t>
  </si>
  <si>
    <t>Amanda Chen</t>
  </si>
  <si>
    <t>Taiwanese</t>
  </si>
  <si>
    <t>600 USD</t>
  </si>
  <si>
    <t>Sydney, Aus</t>
  </si>
  <si>
    <t>900 USD</t>
  </si>
  <si>
    <t>Bangkok, Thai</t>
  </si>
  <si>
    <t>Nana Kwon</t>
  </si>
  <si>
    <t>Tom Hanks</t>
  </si>
  <si>
    <t>1500 USD</t>
  </si>
  <si>
    <t>Phuket, Thai</t>
  </si>
  <si>
    <t>Emma Watson</t>
  </si>
  <si>
    <t>James Kim</t>
  </si>
  <si>
    <t>Dubai</t>
  </si>
  <si>
    <t>Fatima Ahmed</t>
  </si>
  <si>
    <t>Liam Nguyen</t>
  </si>
  <si>
    <t>100 USD</t>
  </si>
  <si>
    <t>Giulia Rossi</t>
  </si>
  <si>
    <t>350 USD</t>
  </si>
  <si>
    <t>Putra Wijaya</t>
  </si>
  <si>
    <t>Indonesian</t>
  </si>
  <si>
    <t>Seoul</t>
  </si>
  <si>
    <t>Kim Min-ji</t>
  </si>
  <si>
    <t>150 USD</t>
  </si>
  <si>
    <t>USA</t>
  </si>
  <si>
    <t>Emily Johnson</t>
  </si>
  <si>
    <t>South Korea</t>
  </si>
  <si>
    <t>UK</t>
  </si>
  <si>
    <t>Michael Wong</t>
  </si>
  <si>
    <t>China</t>
  </si>
  <si>
    <t>Jessica Chen</t>
  </si>
  <si>
    <t>Taiwan</t>
  </si>
  <si>
    <t>Ken Tanaka</t>
  </si>
  <si>
    <t>Rio de Janeiro</t>
  </si>
  <si>
    <t>Rodrigo Oliveira</t>
  </si>
  <si>
    <t>Olivia Kim</t>
  </si>
  <si>
    <t>Amsterdam</t>
  </si>
  <si>
    <t>Robert Mueller</t>
  </si>
  <si>
    <t>Germany</t>
  </si>
  <si>
    <t>Hong Kong</t>
  </si>
  <si>
    <t>Lisa Chen</t>
  </si>
  <si>
    <t>Emily Wong</t>
  </si>
  <si>
    <t>United Kingdom</t>
  </si>
  <si>
    <t>Phuket</t>
  </si>
  <si>
    <t>Mark Tan</t>
  </si>
  <si>
    <t>Singapore</t>
  </si>
  <si>
    <t>Emma Lee</t>
  </si>
  <si>
    <t>Santorini</t>
  </si>
  <si>
    <t>George Chen</t>
  </si>
  <si>
    <t>Ferry</t>
  </si>
  <si>
    <t>Sophia Kim</t>
  </si>
  <si>
    <t>United Arab Emirates</t>
  </si>
  <si>
    <t>Phnom Penh</t>
  </si>
  <si>
    <t>Alex Ng</t>
  </si>
  <si>
    <t>Cambodia</t>
  </si>
  <si>
    <t>Cindy Chen</t>
  </si>
  <si>
    <t>Emily Kim</t>
  </si>
  <si>
    <t>Frank Li</t>
  </si>
  <si>
    <t>Athens, Greece</t>
  </si>
  <si>
    <t>Gina Lee</t>
  </si>
  <si>
    <t>Henry Kim</t>
  </si>
  <si>
    <t>Isabella Chen</t>
  </si>
  <si>
    <t>Jack Smith</t>
  </si>
  <si>
    <t>Katie Johnson</t>
  </si>
  <si>
    <t>John Doe</t>
  </si>
  <si>
    <t>Airplane</t>
  </si>
  <si>
    <t>Jane Smith</t>
  </si>
  <si>
    <t>Cape Town, South Africa</t>
  </si>
  <si>
    <t>Michael Johnson</t>
  </si>
  <si>
    <t>Jose Perez</t>
  </si>
  <si>
    <t>Emma Wilson</t>
  </si>
  <si>
    <t>Ryan Chen</t>
  </si>
  <si>
    <t>Sofia Rodriguez</t>
  </si>
  <si>
    <t>Auckland, New Zealand</t>
  </si>
  <si>
    <t>William Brown</t>
  </si>
  <si>
    <t>New Zealander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</si>
</sst>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_);[Red]\(&quot;$&quot;#,##0\)"/>
  </numFmts>
  <fonts count="2">
    <font>
      <sz val="11"/>
      <color theme="1"/>
      <name val="Calibri"/>
      <charset val="134"/>
      <scheme val="minor"/>
    </font>
    <font>
      <b/>
      <sz val="11"/>
      <color theme="1"/>
      <name val="Calibri"/>
      <charset val="134"/>
      <scheme val="minor"/>
    </font>
  </fonts>
  <fills count="4">
    <fill>
      <patternFill patternType="none"/>
    </fill>
    <fill>
      <patternFill patternType="gray125"/>
    </fill>
    <fill>
      <patternFill patternType="solid">
        <fgColor theme="8" tint="0.39997558519241921"/>
        <bgColor indexed="64"/>
      </patternFill>
    </fill>
    <fill>
      <patternFill patternType="solid">
        <fgColor theme="8" tint="0.39997558519241921"/>
        <bgColor theme="4" tint="0.79992065187536243"/>
      </patternFill>
    </fill>
  </fills>
  <borders count="2">
    <border>
      <left/>
      <right/>
      <top/>
      <bottom/>
      <diagonal/>
    </border>
    <border>
      <left/>
      <right/>
      <top style="thin">
        <color theme="4" tint="0.39991454817346722"/>
      </top>
      <bottom style="thin">
        <color theme="4" tint="0.39991454817346722"/>
      </bottom>
      <diagonal/>
    </border>
  </borders>
  <cellStyleXfs count="1">
    <xf numFmtId="0" fontId="0" fillId="0" borderId="0">
      <alignment vertical="center"/>
    </xf>
  </cellStyleXfs>
  <cellXfs count="9">
    <xf numFmtId="0" fontId="0" fillId="0" borderId="0" xfId="0">
      <alignment vertical="center"/>
    </xf>
    <xf numFmtId="14" fontId="0" fillId="0" borderId="0" xfId="0" applyNumberFormat="1">
      <alignment vertical="center"/>
    </xf>
    <xf numFmtId="164" fontId="0" fillId="0" borderId="0" xfId="0" applyNumberFormat="1">
      <alignment vertical="center"/>
    </xf>
    <xf numFmtId="0" fontId="0" fillId="0" borderId="0" xfId="0" applyAlignment="1">
      <alignment horizontal="left" vertical="center"/>
    </xf>
    <xf numFmtId="0" fontId="0" fillId="0" borderId="0" xfId="0" applyNumberFormat="1">
      <alignment vertical="center"/>
    </xf>
    <xf numFmtId="0" fontId="0" fillId="0" borderId="0" xfId="0" applyAlignment="1">
      <alignment horizontal="left" vertical="center" indent="1"/>
    </xf>
    <xf numFmtId="0" fontId="0" fillId="0" borderId="0" xfId="0" pivotButton="1">
      <alignment vertical="center"/>
    </xf>
    <xf numFmtId="0" fontId="0" fillId="2" borderId="0" xfId="0" applyFill="1" applyAlignment="1">
      <alignment horizontal="left" vertical="center"/>
    </xf>
    <xf numFmtId="0" fontId="1" fillId="3" borderId="1" xfId="0" applyNumberFormat="1" applyFont="1" applyFill="1" applyBorder="1">
      <alignment vertical="center"/>
    </xf>
  </cellXfs>
  <cellStyles count="1">
    <cellStyle name="Normal" xfId="0" builtinId="0"/>
  </cellStyles>
  <dxfs count="19">
    <dxf>
      <numFmt numFmtId="19" formatCode="dd/mm/yyyy"/>
    </dxf>
    <dxf>
      <numFmt numFmtId="19" formatCode="dd/mm/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Trip Id</a:t>
            </a:r>
          </a:p>
        </c:rich>
      </c:tx>
      <c:layout>
        <c:manualLayout>
          <c:xMode val="edge"/>
          <c:yMode val="edge"/>
          <c:x val="0.45972706744372699"/>
          <c:y val="4.16666666666666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DB-4826-9EEA-CDF7EE8D46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DB-4826-9EEA-CDF7EE8D46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DB-4826-9EEA-CDF7EE8D46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DB-4826-9EEA-CDF7EE8D46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DB-4826-9EEA-CDF7EE8D46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DB-4826-9EEA-CDF7EE8D46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DB-4826-9EEA-CDF7EE8D46E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DB-4826-9EEA-CDF7EE8D46E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3DB-4826-9EEA-CDF7EE8D46E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3DB-4826-9EEA-CDF7EE8D46E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3DB-4826-9EEA-CDF7EE8D46E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3DB-4826-9EEA-CDF7EE8D46E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3DB-4826-9EEA-CDF7EE8D46E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3DB-4826-9EEA-CDF7EE8D46E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3DB-4826-9EEA-CDF7EE8D46E1}"/>
              </c:ext>
            </c:extLst>
          </c:dPt>
          <c:cat>
            <c:strRef>
              <c:f>'Pivot Table'!$D$4:$D$14</c:f>
              <c:strCache>
                <c:ptCount val="10"/>
                <c:pt idx="0">
                  <c:v>Ana Hernandez</c:v>
                </c:pt>
                <c:pt idx="1">
                  <c:v>David Lee</c:v>
                </c:pt>
                <c:pt idx="2">
                  <c:v>Hans Mueller</c:v>
                </c:pt>
                <c:pt idx="3">
                  <c:v>John Smith</c:v>
                </c:pt>
                <c:pt idx="4">
                  <c:v>Laura Janssen</c:v>
                </c:pt>
                <c:pt idx="5">
                  <c:v>Lily Wong</c:v>
                </c:pt>
                <c:pt idx="6">
                  <c:v>Lucas Santos</c:v>
                </c:pt>
                <c:pt idx="7">
                  <c:v>Michael Brown</c:v>
                </c:pt>
                <c:pt idx="8">
                  <c:v>Mohammed Ali</c:v>
                </c:pt>
                <c:pt idx="9">
                  <c:v>Sarah Johnson</c:v>
                </c:pt>
              </c:strCache>
            </c:strRef>
          </c:cat>
          <c:val>
            <c:numRef>
              <c:f>'Pivot Table'!$E$4:$E$14</c:f>
              <c:numCache>
                <c:formatCode>General</c:formatCode>
                <c:ptCount val="10"/>
                <c:pt idx="0">
                  <c:v>11</c:v>
                </c:pt>
                <c:pt idx="1">
                  <c:v>3</c:v>
                </c:pt>
                <c:pt idx="2">
                  <c:v>14</c:v>
                </c:pt>
                <c:pt idx="3">
                  <c:v>1</c:v>
                </c:pt>
                <c:pt idx="4">
                  <c:v>9</c:v>
                </c:pt>
                <c:pt idx="5">
                  <c:v>13</c:v>
                </c:pt>
                <c:pt idx="6">
                  <c:v>8</c:v>
                </c:pt>
                <c:pt idx="7">
                  <c:v>6</c:v>
                </c:pt>
                <c:pt idx="8">
                  <c:v>10</c:v>
                </c:pt>
                <c:pt idx="9">
                  <c:v>4</c:v>
                </c:pt>
              </c:numCache>
            </c:numRef>
          </c:val>
          <c:extLst>
            <c:ext xmlns:c16="http://schemas.microsoft.com/office/drawing/2014/chart" uri="{C3380CC4-5D6E-409C-BE32-E72D297353CC}">
              <c16:uniqueId val="{0000001E-83DB-4826-9EEA-CDF7EE8D46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uri="{0b15fc19-7d7d-44ad-8c2d-2c3a37ce22c3}">
        <chartProps xmlns="https://web.wps.cn/et/2018/main" chartId="{4e562967-aab6-499d-b6e7-88939f3ac6f9}"/>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Accommodation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Table'!$A$23:$A$33</c:f>
              <c:strCache>
                <c:ptCount val="10"/>
                <c:pt idx="0">
                  <c:v>Ana Hernandez</c:v>
                </c:pt>
                <c:pt idx="1">
                  <c:v>David Lee</c:v>
                </c:pt>
                <c:pt idx="2">
                  <c:v>Hans Mueller</c:v>
                </c:pt>
                <c:pt idx="3">
                  <c:v>John Smith</c:v>
                </c:pt>
                <c:pt idx="4">
                  <c:v>Laura Janssen</c:v>
                </c:pt>
                <c:pt idx="5">
                  <c:v>Lily Wong</c:v>
                </c:pt>
                <c:pt idx="6">
                  <c:v>Lucas Santos</c:v>
                </c:pt>
                <c:pt idx="7">
                  <c:v>Michael Brown</c:v>
                </c:pt>
                <c:pt idx="8">
                  <c:v>Mohammed Ali</c:v>
                </c:pt>
                <c:pt idx="9">
                  <c:v>Sarah Johnson</c:v>
                </c:pt>
              </c:strCache>
            </c:strRef>
          </c:cat>
          <c:val>
            <c:numRef>
              <c:f>'Pivot Table'!$B$23:$B$33</c:f>
              <c:numCache>
                <c:formatCode>General</c:formatCode>
                <c:ptCount val="10"/>
                <c:pt idx="0">
                  <c:v>1000</c:v>
                </c:pt>
                <c:pt idx="1">
                  <c:v>1000</c:v>
                </c:pt>
                <c:pt idx="2">
                  <c:v>1400</c:v>
                </c:pt>
                <c:pt idx="3">
                  <c:v>1200</c:v>
                </c:pt>
                <c:pt idx="4">
                  <c:v>1200</c:v>
                </c:pt>
                <c:pt idx="5">
                  <c:v>3000</c:v>
                </c:pt>
                <c:pt idx="6">
                  <c:v>900</c:v>
                </c:pt>
                <c:pt idx="7">
                  <c:v>1500</c:v>
                </c:pt>
                <c:pt idx="8">
                  <c:v>2500</c:v>
                </c:pt>
                <c:pt idx="9">
                  <c:v>2000</c:v>
                </c:pt>
              </c:numCache>
            </c:numRef>
          </c:val>
          <c:extLst>
            <c:ext xmlns:c16="http://schemas.microsoft.com/office/drawing/2014/chart" uri="{C3380CC4-5D6E-409C-BE32-E72D297353CC}">
              <c16:uniqueId val="{00000000-2DB1-4C88-82F1-89143BD71C2C}"/>
            </c:ext>
          </c:extLst>
        </c:ser>
        <c:dLbls>
          <c:showLegendKey val="0"/>
          <c:showVal val="0"/>
          <c:showCatName val="0"/>
          <c:showSerName val="0"/>
          <c:showPercent val="0"/>
          <c:showBubbleSize val="0"/>
        </c:dLbls>
        <c:gapWidth val="219"/>
        <c:overlap val="-27"/>
        <c:axId val="455276304"/>
        <c:axId val="455273352"/>
      </c:barChart>
      <c:catAx>
        <c:axId val="45527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5273352"/>
        <c:crosses val="autoZero"/>
        <c:auto val="1"/>
        <c:lblAlgn val="ctr"/>
        <c:lblOffset val="100"/>
        <c:noMultiLvlLbl val="0"/>
      </c:catAx>
      <c:valAx>
        <c:axId val="455273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527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cc6df866-1b1f-4885-800e-0780411538c3}"/>
      </c:ext>
    </c:extLst>
  </c:chart>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6350" cap="flat" cmpd="sng" algn="ctr">
      <a:solidFill>
        <a:schemeClr val="accent3"/>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Transportation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Table'!$E$25</c:f>
              <c:strCache>
                <c:ptCount val="1"/>
                <c:pt idx="0">
                  <c:v>Total</c:v>
                </c:pt>
              </c:strCache>
            </c:strRef>
          </c:tx>
          <c:spPr>
            <a:ln w="28575" cap="rnd">
              <a:solidFill>
                <a:schemeClr val="accent1"/>
              </a:solidFill>
              <a:round/>
            </a:ln>
            <a:effectLst/>
          </c:spPr>
          <c:marker>
            <c:symbol val="none"/>
          </c:marker>
          <c:cat>
            <c:strRef>
              <c:f>'Pivot Table'!$D$26:$D$36</c:f>
              <c:strCache>
                <c:ptCount val="10"/>
                <c:pt idx="0">
                  <c:v>Ana Hernandez</c:v>
                </c:pt>
                <c:pt idx="1">
                  <c:v>David Lee</c:v>
                </c:pt>
                <c:pt idx="2">
                  <c:v>Hans Mueller</c:v>
                </c:pt>
                <c:pt idx="3">
                  <c:v>John Smith</c:v>
                </c:pt>
                <c:pt idx="4">
                  <c:v>Laura Janssen</c:v>
                </c:pt>
                <c:pt idx="5">
                  <c:v>Lily Wong</c:v>
                </c:pt>
                <c:pt idx="6">
                  <c:v>Lucas Santos</c:v>
                </c:pt>
                <c:pt idx="7">
                  <c:v>Michael Brown</c:v>
                </c:pt>
                <c:pt idx="8">
                  <c:v>Mohammed Ali</c:v>
                </c:pt>
                <c:pt idx="9">
                  <c:v>Sarah Johnson</c:v>
                </c:pt>
              </c:strCache>
            </c:strRef>
          </c:cat>
          <c:val>
            <c:numRef>
              <c:f>'Pivot Table'!$E$26:$E$36</c:f>
              <c:numCache>
                <c:formatCode>General</c:formatCode>
                <c:ptCount val="10"/>
                <c:pt idx="0">
                  <c:v>500</c:v>
                </c:pt>
                <c:pt idx="1">
                  <c:v>700</c:v>
                </c:pt>
                <c:pt idx="2">
                  <c:v>700</c:v>
                </c:pt>
                <c:pt idx="3">
                  <c:v>600</c:v>
                </c:pt>
                <c:pt idx="4">
                  <c:v>200</c:v>
                </c:pt>
                <c:pt idx="5">
                  <c:v>1200</c:v>
                </c:pt>
                <c:pt idx="6">
                  <c:v>600</c:v>
                </c:pt>
                <c:pt idx="7">
                  <c:v>800</c:v>
                </c:pt>
                <c:pt idx="8">
                  <c:v>800</c:v>
                </c:pt>
                <c:pt idx="9">
                  <c:v>1000</c:v>
                </c:pt>
              </c:numCache>
            </c:numRef>
          </c:val>
          <c:smooth val="0"/>
          <c:extLst>
            <c:ext xmlns:c16="http://schemas.microsoft.com/office/drawing/2014/chart" uri="{C3380CC4-5D6E-409C-BE32-E72D297353CC}">
              <c16:uniqueId val="{00000000-4154-4968-A48E-05F1F80FE1CF}"/>
            </c:ext>
          </c:extLst>
        </c:ser>
        <c:dLbls>
          <c:showLegendKey val="0"/>
          <c:showVal val="0"/>
          <c:showCatName val="0"/>
          <c:showSerName val="0"/>
          <c:showPercent val="0"/>
          <c:showBubbleSize val="0"/>
        </c:dLbls>
        <c:smooth val="0"/>
        <c:axId val="454832008"/>
        <c:axId val="454828400"/>
      </c:lineChart>
      <c:catAx>
        <c:axId val="454832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4828400"/>
        <c:crosses val="autoZero"/>
        <c:auto val="1"/>
        <c:lblAlgn val="ctr"/>
        <c:lblOffset val="100"/>
        <c:noMultiLvlLbl val="0"/>
      </c:catAx>
      <c:valAx>
        <c:axId val="45482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4832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uri="{0b15fc19-7d7d-44ad-8c2d-2c3a37ce22c3}">
        <chartProps xmlns="https://web.wps.cn/et/2018/main" chartId="{b9c86786-bee6-4cff-a9a7-0525a6a86262}"/>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t>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E3-4E9A-9EBE-025C5EB2BF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E3-4E9A-9EBE-025C5EB2BF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E3-4E9A-9EBE-025C5EB2BF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E3-4E9A-9EBE-025C5EB2BF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E3-4E9A-9EBE-025C5EB2BF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E3-4E9A-9EBE-025C5EB2BF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E3-4E9A-9EBE-025C5EB2BF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E3-4E9A-9EBE-025C5EB2BF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E3-4E9A-9EBE-025C5EB2BF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E3-4E9A-9EBE-025C5EB2BF6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7E3-4E9A-9EBE-025C5EB2BF6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7E3-4E9A-9EBE-025C5EB2BF6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E3-4E9A-9EBE-025C5EB2BF6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7E3-4E9A-9EBE-025C5EB2BF6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7E3-4E9A-9EBE-025C5EB2BF6F}"/>
              </c:ext>
            </c:extLst>
          </c:dPt>
          <c:cat>
            <c:strRef>
              <c:f>'Pivot Table'!$G$4:$G$14</c:f>
              <c:strCache>
                <c:ptCount val="10"/>
                <c:pt idx="0">
                  <c:v>Amsterdam, Netherlands</c:v>
                </c:pt>
                <c:pt idx="1">
                  <c:v>Bali, Indonesia</c:v>
                </c:pt>
                <c:pt idx="2">
                  <c:v>Berlin, Germany</c:v>
                </c:pt>
                <c:pt idx="3">
                  <c:v>Cancun, Mexico</c:v>
                </c:pt>
                <c:pt idx="4">
                  <c:v>Dubai, United Arab Emirates</c:v>
                </c:pt>
                <c:pt idx="5">
                  <c:v>Honolulu, Hawaii</c:v>
                </c:pt>
                <c:pt idx="6">
                  <c:v>London, UK</c:v>
                </c:pt>
                <c:pt idx="7">
                  <c:v>New York, USA</c:v>
                </c:pt>
                <c:pt idx="8">
                  <c:v>Paris, France</c:v>
                </c:pt>
                <c:pt idx="9">
                  <c:v>Rio de Janeiro, Brazil</c:v>
                </c:pt>
              </c:strCache>
            </c:strRef>
          </c:cat>
          <c:val>
            <c:numRef>
              <c:f>'Pivot Table'!$H$4:$H$14</c:f>
              <c:numCache>
                <c:formatCode>General</c:formatCode>
                <c:ptCount val="10"/>
                <c:pt idx="0">
                  <c:v>7</c:v>
                </c:pt>
                <c:pt idx="1">
                  <c:v>7</c:v>
                </c:pt>
                <c:pt idx="2">
                  <c:v>9</c:v>
                </c:pt>
                <c:pt idx="3">
                  <c:v>7</c:v>
                </c:pt>
                <c:pt idx="4">
                  <c:v>7</c:v>
                </c:pt>
                <c:pt idx="5">
                  <c:v>8</c:v>
                </c:pt>
                <c:pt idx="6">
                  <c:v>7</c:v>
                </c:pt>
                <c:pt idx="7">
                  <c:v>14</c:v>
                </c:pt>
                <c:pt idx="8">
                  <c:v>5</c:v>
                </c:pt>
                <c:pt idx="9">
                  <c:v>7</c:v>
                </c:pt>
              </c:numCache>
            </c:numRef>
          </c:val>
          <c:extLst>
            <c:ext xmlns:c16="http://schemas.microsoft.com/office/drawing/2014/chart" uri="{C3380CC4-5D6E-409C-BE32-E72D297353CC}">
              <c16:uniqueId val="{0000001E-77E3-4E9A-9EBE-025C5EB2BF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d2eb084e-2305-4f10-a88d-1f72ebf15d3d}"/>
      </c:ext>
    </c:extLst>
  </c:char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Table!PivotTable4</c:name>
    <c:fmtId val="4"/>
  </c:pivotSource>
  <c:chart>
    <c:title>
      <c:tx>
        <c:rich>
          <a:bodyPr rot="0" spcFirstLastPara="1" vertOverflow="ellipsis" vert="horz" wrap="square" anchor="ctr" anchorCtr="1"/>
          <a:lstStyle/>
          <a:p>
            <a:pPr>
              <a:defRPr lang="en-US" sz="1400" b="0" i="0" u="none" strike="noStrike" kern="1200" spc="0" baseline="0">
                <a:solidFill>
                  <a:schemeClr val="bg2"/>
                </a:solidFill>
                <a:latin typeface="+mn-lt"/>
                <a:ea typeface="+mn-ea"/>
                <a:cs typeface="+mn-cs"/>
              </a:defRPr>
            </a:pPr>
            <a:r>
              <a:rPr lang="en-US">
                <a:solidFill>
                  <a:schemeClr val="bg2"/>
                </a:solidFill>
              </a:rPr>
              <a:t>Accommodation Cost</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Table'!$A$23:$A$33</c:f>
              <c:strCache>
                <c:ptCount val="10"/>
                <c:pt idx="0">
                  <c:v>Ana Hernandez</c:v>
                </c:pt>
                <c:pt idx="1">
                  <c:v>David Lee</c:v>
                </c:pt>
                <c:pt idx="2">
                  <c:v>Hans Mueller</c:v>
                </c:pt>
                <c:pt idx="3">
                  <c:v>John Smith</c:v>
                </c:pt>
                <c:pt idx="4">
                  <c:v>Laura Janssen</c:v>
                </c:pt>
                <c:pt idx="5">
                  <c:v>Lily Wong</c:v>
                </c:pt>
                <c:pt idx="6">
                  <c:v>Lucas Santos</c:v>
                </c:pt>
                <c:pt idx="7">
                  <c:v>Michael Brown</c:v>
                </c:pt>
                <c:pt idx="8">
                  <c:v>Mohammed Ali</c:v>
                </c:pt>
                <c:pt idx="9">
                  <c:v>Sarah Johnson</c:v>
                </c:pt>
              </c:strCache>
            </c:strRef>
          </c:cat>
          <c:val>
            <c:numRef>
              <c:f>'Pivot Table'!$B$23:$B$33</c:f>
              <c:numCache>
                <c:formatCode>General</c:formatCode>
                <c:ptCount val="10"/>
                <c:pt idx="0">
                  <c:v>1000</c:v>
                </c:pt>
                <c:pt idx="1">
                  <c:v>1000</c:v>
                </c:pt>
                <c:pt idx="2">
                  <c:v>1400</c:v>
                </c:pt>
                <c:pt idx="3">
                  <c:v>1200</c:v>
                </c:pt>
                <c:pt idx="4">
                  <c:v>1200</c:v>
                </c:pt>
                <c:pt idx="5">
                  <c:v>3000</c:v>
                </c:pt>
                <c:pt idx="6">
                  <c:v>900</c:v>
                </c:pt>
                <c:pt idx="7">
                  <c:v>1500</c:v>
                </c:pt>
                <c:pt idx="8">
                  <c:v>2500</c:v>
                </c:pt>
                <c:pt idx="9">
                  <c:v>2000</c:v>
                </c:pt>
              </c:numCache>
            </c:numRef>
          </c:val>
          <c:extLst>
            <c:ext xmlns:c16="http://schemas.microsoft.com/office/drawing/2014/chart" uri="{C3380CC4-5D6E-409C-BE32-E72D297353CC}">
              <c16:uniqueId val="{00000000-C4C4-4AE3-8710-A2946A6BDC29}"/>
            </c:ext>
          </c:extLst>
        </c:ser>
        <c:dLbls>
          <c:showLegendKey val="0"/>
          <c:showVal val="0"/>
          <c:showCatName val="0"/>
          <c:showSerName val="0"/>
          <c:showPercent val="0"/>
          <c:showBubbleSize val="0"/>
        </c:dLbls>
        <c:gapWidth val="219"/>
        <c:overlap val="-27"/>
        <c:axId val="455276304"/>
        <c:axId val="455273352"/>
      </c:barChart>
      <c:catAx>
        <c:axId val="45527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455273352"/>
        <c:crosses val="autoZero"/>
        <c:auto val="1"/>
        <c:lblAlgn val="ctr"/>
        <c:lblOffset val="100"/>
        <c:noMultiLvlLbl val="0"/>
      </c:catAx>
      <c:valAx>
        <c:axId val="455273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crossAx val="45527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02a05ee5-3552-4324-a66b-7a339c102fd9}"/>
      </c:ext>
    </c:extLst>
  </c:chart>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lang="en-US">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Table!PivotTable5</c:name>
    <c:fmtId val="5"/>
  </c:pivotSource>
  <c:chart>
    <c:title>
      <c:tx>
        <c:rich>
          <a:bodyPr rot="0" spcFirstLastPara="1" vertOverflow="ellipsis" vert="horz" wrap="square" anchor="ctr" anchorCtr="1"/>
          <a:lstStyle/>
          <a:p>
            <a:pPr>
              <a:defRPr lang="en-US" sz="1400" b="0" i="0" u="none" strike="noStrike" kern="1200" spc="0" baseline="0">
                <a:solidFill>
                  <a:schemeClr val="dk1"/>
                </a:solidFill>
                <a:latin typeface="+mn-lt"/>
                <a:ea typeface="+mn-ea"/>
                <a:cs typeface="+mn-cs"/>
              </a:defRPr>
            </a:pPr>
            <a:r>
              <a:rPr lang="en-US"/>
              <a:t>Transportation Cost</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Table'!$E$25</c:f>
              <c:strCache>
                <c:ptCount val="1"/>
                <c:pt idx="0">
                  <c:v>Total</c:v>
                </c:pt>
              </c:strCache>
            </c:strRef>
          </c:tx>
          <c:spPr>
            <a:ln w="28575" cap="rnd">
              <a:solidFill>
                <a:schemeClr val="accent1"/>
              </a:solidFill>
              <a:round/>
            </a:ln>
            <a:effectLst/>
          </c:spPr>
          <c:marker>
            <c:symbol val="none"/>
          </c:marker>
          <c:cat>
            <c:strRef>
              <c:f>'Pivot Table'!$D$26:$D$36</c:f>
              <c:strCache>
                <c:ptCount val="10"/>
                <c:pt idx="0">
                  <c:v>Ana Hernandez</c:v>
                </c:pt>
                <c:pt idx="1">
                  <c:v>David Lee</c:v>
                </c:pt>
                <c:pt idx="2">
                  <c:v>Hans Mueller</c:v>
                </c:pt>
                <c:pt idx="3">
                  <c:v>John Smith</c:v>
                </c:pt>
                <c:pt idx="4">
                  <c:v>Laura Janssen</c:v>
                </c:pt>
                <c:pt idx="5">
                  <c:v>Lily Wong</c:v>
                </c:pt>
                <c:pt idx="6">
                  <c:v>Lucas Santos</c:v>
                </c:pt>
                <c:pt idx="7">
                  <c:v>Michael Brown</c:v>
                </c:pt>
                <c:pt idx="8">
                  <c:v>Mohammed Ali</c:v>
                </c:pt>
                <c:pt idx="9">
                  <c:v>Sarah Johnson</c:v>
                </c:pt>
              </c:strCache>
            </c:strRef>
          </c:cat>
          <c:val>
            <c:numRef>
              <c:f>'Pivot Table'!$E$26:$E$36</c:f>
              <c:numCache>
                <c:formatCode>General</c:formatCode>
                <c:ptCount val="10"/>
                <c:pt idx="0">
                  <c:v>500</c:v>
                </c:pt>
                <c:pt idx="1">
                  <c:v>700</c:v>
                </c:pt>
                <c:pt idx="2">
                  <c:v>700</c:v>
                </c:pt>
                <c:pt idx="3">
                  <c:v>600</c:v>
                </c:pt>
                <c:pt idx="4">
                  <c:v>200</c:v>
                </c:pt>
                <c:pt idx="5">
                  <c:v>1200</c:v>
                </c:pt>
                <c:pt idx="6">
                  <c:v>600</c:v>
                </c:pt>
                <c:pt idx="7">
                  <c:v>800</c:v>
                </c:pt>
                <c:pt idx="8">
                  <c:v>800</c:v>
                </c:pt>
                <c:pt idx="9">
                  <c:v>1000</c:v>
                </c:pt>
              </c:numCache>
            </c:numRef>
          </c:val>
          <c:smooth val="0"/>
          <c:extLst>
            <c:ext xmlns:c16="http://schemas.microsoft.com/office/drawing/2014/chart" uri="{C3380CC4-5D6E-409C-BE32-E72D297353CC}">
              <c16:uniqueId val="{00000000-039E-4910-B0FD-47B8181E5470}"/>
            </c:ext>
          </c:extLst>
        </c:ser>
        <c:dLbls>
          <c:showLegendKey val="0"/>
          <c:showVal val="0"/>
          <c:showCatName val="0"/>
          <c:showSerName val="0"/>
          <c:showPercent val="0"/>
          <c:showBubbleSize val="0"/>
        </c:dLbls>
        <c:smooth val="0"/>
        <c:axId val="454832008"/>
        <c:axId val="454828400"/>
      </c:lineChart>
      <c:catAx>
        <c:axId val="454832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454828400"/>
        <c:crosses val="autoZero"/>
        <c:auto val="1"/>
        <c:lblAlgn val="ctr"/>
        <c:lblOffset val="100"/>
        <c:noMultiLvlLbl val="0"/>
      </c:catAx>
      <c:valAx>
        <c:axId val="45482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454832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uri="{0b15fc19-7d7d-44ad-8c2d-2c3a37ce22c3}">
        <chartProps xmlns="https://web.wps.cn/et/2018/main" chartId="{3393520d-de74-4f6b-b954-cee00c5e256e}"/>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lang="en-US">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IN">
                <a:solidFill>
                  <a:schemeClr val="bg2"/>
                </a:solidFill>
              </a:rPr>
              <a:t>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91-42AE-BDB0-31FEE6E526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91-42AE-BDB0-31FEE6E526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91-42AE-BDB0-31FEE6E526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91-42AE-BDB0-31FEE6E5262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91-42AE-BDB0-31FEE6E5262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91-42AE-BDB0-31FEE6E5262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91-42AE-BDB0-31FEE6E5262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691-42AE-BDB0-31FEE6E5262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691-42AE-BDB0-31FEE6E5262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691-42AE-BDB0-31FEE6E5262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691-42AE-BDB0-31FEE6E5262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691-42AE-BDB0-31FEE6E5262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691-42AE-BDB0-31FEE6E5262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691-42AE-BDB0-31FEE6E5262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691-42AE-BDB0-31FEE6E52624}"/>
              </c:ext>
            </c:extLst>
          </c:dPt>
          <c:cat>
            <c:strRef>
              <c:f>'Pivot Table'!$G$4:$G$14</c:f>
              <c:strCache>
                <c:ptCount val="10"/>
                <c:pt idx="0">
                  <c:v>Amsterdam, Netherlands</c:v>
                </c:pt>
                <c:pt idx="1">
                  <c:v>Bali, Indonesia</c:v>
                </c:pt>
                <c:pt idx="2">
                  <c:v>Berlin, Germany</c:v>
                </c:pt>
                <c:pt idx="3">
                  <c:v>Cancun, Mexico</c:v>
                </c:pt>
                <c:pt idx="4">
                  <c:v>Dubai, United Arab Emirates</c:v>
                </c:pt>
                <c:pt idx="5">
                  <c:v>Honolulu, Hawaii</c:v>
                </c:pt>
                <c:pt idx="6">
                  <c:v>London, UK</c:v>
                </c:pt>
                <c:pt idx="7">
                  <c:v>New York, USA</c:v>
                </c:pt>
                <c:pt idx="8">
                  <c:v>Paris, France</c:v>
                </c:pt>
                <c:pt idx="9">
                  <c:v>Rio de Janeiro, Brazil</c:v>
                </c:pt>
              </c:strCache>
            </c:strRef>
          </c:cat>
          <c:val>
            <c:numRef>
              <c:f>'Pivot Table'!$H$4:$H$14</c:f>
              <c:numCache>
                <c:formatCode>General</c:formatCode>
                <c:ptCount val="10"/>
                <c:pt idx="0">
                  <c:v>7</c:v>
                </c:pt>
                <c:pt idx="1">
                  <c:v>7</c:v>
                </c:pt>
                <c:pt idx="2">
                  <c:v>9</c:v>
                </c:pt>
                <c:pt idx="3">
                  <c:v>7</c:v>
                </c:pt>
                <c:pt idx="4">
                  <c:v>7</c:v>
                </c:pt>
                <c:pt idx="5">
                  <c:v>8</c:v>
                </c:pt>
                <c:pt idx="6">
                  <c:v>7</c:v>
                </c:pt>
                <c:pt idx="7">
                  <c:v>14</c:v>
                </c:pt>
                <c:pt idx="8">
                  <c:v>5</c:v>
                </c:pt>
                <c:pt idx="9">
                  <c:v>7</c:v>
                </c:pt>
              </c:numCache>
            </c:numRef>
          </c:val>
          <c:extLst>
            <c:ext xmlns:c16="http://schemas.microsoft.com/office/drawing/2014/chart" uri="{C3380CC4-5D6E-409C-BE32-E72D297353CC}">
              <c16:uniqueId val="{0000001E-1691-42AE-BDB0-31FEE6E526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08f1e8ab-194d-4b25-afce-3e4e395a117b}"/>
      </c:ext>
    </c:extLst>
  </c:chart>
  <c:spPr>
    <a:solidFill>
      <a:schemeClr val="accent6"/>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dataset.xlsx]Pivot Table!PivotTable2</c:name>
    <c:fmtId val="7"/>
  </c:pivotSource>
  <c:chart>
    <c:title>
      <c:tx>
        <c:rich>
          <a:bodyPr rot="0" spcFirstLastPara="1" vertOverflow="ellipsis" vert="horz" wrap="square" anchor="ctr" anchorCtr="1"/>
          <a:lstStyle/>
          <a:p>
            <a:pPr>
              <a:defRPr lang="en-US" sz="1400" b="0" i="0" u="none" strike="noStrike" kern="1200" spc="0" baseline="0">
                <a:solidFill>
                  <a:schemeClr val="lt1"/>
                </a:solidFill>
                <a:latin typeface="+mn-lt"/>
                <a:ea typeface="+mn-ea"/>
                <a:cs typeface="+mn-cs"/>
              </a:defRPr>
            </a:pPr>
            <a:r>
              <a:rPr lang="en-US"/>
              <a:t>Trip Id</a:t>
            </a:r>
          </a:p>
        </c:rich>
      </c:tx>
      <c:layout>
        <c:manualLayout>
          <c:xMode val="edge"/>
          <c:yMode val="edge"/>
          <c:x val="0.45972706744372699"/>
          <c:y val="4.1666666666666699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8D-4C4C-9A2B-04CC8CEF4E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8D-4C4C-9A2B-04CC8CEF4E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8D-4C4C-9A2B-04CC8CEF4E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8D-4C4C-9A2B-04CC8CEF4E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38D-4C4C-9A2B-04CC8CEF4E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38D-4C4C-9A2B-04CC8CEF4E1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38D-4C4C-9A2B-04CC8CEF4E1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38D-4C4C-9A2B-04CC8CEF4E1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38D-4C4C-9A2B-04CC8CEF4E1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38D-4C4C-9A2B-04CC8CEF4E1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38D-4C4C-9A2B-04CC8CEF4E1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38D-4C4C-9A2B-04CC8CEF4E1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38D-4C4C-9A2B-04CC8CEF4E1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38D-4C4C-9A2B-04CC8CEF4E1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38D-4C4C-9A2B-04CC8CEF4E17}"/>
              </c:ext>
            </c:extLst>
          </c:dPt>
          <c:cat>
            <c:strRef>
              <c:f>'Pivot Table'!$D$4:$D$14</c:f>
              <c:strCache>
                <c:ptCount val="10"/>
                <c:pt idx="0">
                  <c:v>Ana Hernandez</c:v>
                </c:pt>
                <c:pt idx="1">
                  <c:v>David Lee</c:v>
                </c:pt>
                <c:pt idx="2">
                  <c:v>Hans Mueller</c:v>
                </c:pt>
                <c:pt idx="3">
                  <c:v>John Smith</c:v>
                </c:pt>
                <c:pt idx="4">
                  <c:v>Laura Janssen</c:v>
                </c:pt>
                <c:pt idx="5">
                  <c:v>Lily Wong</c:v>
                </c:pt>
                <c:pt idx="6">
                  <c:v>Lucas Santos</c:v>
                </c:pt>
                <c:pt idx="7">
                  <c:v>Michael Brown</c:v>
                </c:pt>
                <c:pt idx="8">
                  <c:v>Mohammed Ali</c:v>
                </c:pt>
                <c:pt idx="9">
                  <c:v>Sarah Johnson</c:v>
                </c:pt>
              </c:strCache>
            </c:strRef>
          </c:cat>
          <c:val>
            <c:numRef>
              <c:f>'Pivot Table'!$E$4:$E$14</c:f>
              <c:numCache>
                <c:formatCode>General</c:formatCode>
                <c:ptCount val="10"/>
                <c:pt idx="0">
                  <c:v>11</c:v>
                </c:pt>
                <c:pt idx="1">
                  <c:v>3</c:v>
                </c:pt>
                <c:pt idx="2">
                  <c:v>14</c:v>
                </c:pt>
                <c:pt idx="3">
                  <c:v>1</c:v>
                </c:pt>
                <c:pt idx="4">
                  <c:v>9</c:v>
                </c:pt>
                <c:pt idx="5">
                  <c:v>13</c:v>
                </c:pt>
                <c:pt idx="6">
                  <c:v>8</c:v>
                </c:pt>
                <c:pt idx="7">
                  <c:v>6</c:v>
                </c:pt>
                <c:pt idx="8">
                  <c:v>10</c:v>
                </c:pt>
                <c:pt idx="9">
                  <c:v>4</c:v>
                </c:pt>
              </c:numCache>
            </c:numRef>
          </c:val>
          <c:extLst>
            <c:ext xmlns:c16="http://schemas.microsoft.com/office/drawing/2014/chart" uri="{C3380CC4-5D6E-409C-BE32-E72D297353CC}">
              <c16:uniqueId val="{0000001E-F38D-4C4C-9A2B-04CC8CEF4E1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solidFill>
              <a:latin typeface="+mn-lt"/>
              <a:ea typeface="+mn-ea"/>
              <a:cs typeface="+mn-cs"/>
            </a:defRPr>
          </a:pPr>
          <a:endParaRPr lang="en-US"/>
        </a:p>
      </c:txPr>
    </c:legend>
    <c:plotVisOnly val="1"/>
    <c:dispBlanksAs val="gap"/>
    <c:showDLblsOverMax val="0"/>
    <c:extLst>
      <c:ext uri="{0b15fc19-7d7d-44ad-8c2d-2c3a37ce22c3}">
        <chartProps xmlns="https://web.wps.cn/et/2018/main" chartId="{915220ab-2b76-4e54-8923-6e8281beb673}"/>
      </c:ext>
    </c:extLst>
  </c:chart>
  <c:spPr>
    <a:solidFill>
      <a:schemeClr val="accent2"/>
    </a:solidFill>
    <a:ln w="12700" cap="flat" cmpd="sng" algn="ctr">
      <a:solidFill>
        <a:schemeClr val="accent2">
          <a:shade val="50000"/>
        </a:schemeClr>
      </a:solidFill>
      <a:prstDash val="solid"/>
      <a:miter lim="800000"/>
    </a:ln>
    <a:effectLst/>
  </c:spPr>
  <c:txPr>
    <a:bodyPr/>
    <a:lstStyle/>
    <a:p>
      <a:pPr>
        <a:defRPr lang="en-US">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7.xml"/><Relationship Id="rId7" Type="http://schemas.openxmlformats.org/officeDocument/2006/relationships/image" Target="../media/image4.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image" Target="../media/image2.jpe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71437</xdr:colOff>
      <xdr:row>32</xdr:row>
      <xdr:rowOff>180974</xdr:rowOff>
    </xdr:from>
    <xdr:to>
      <xdr:col>12</xdr:col>
      <xdr:colOff>381000</xdr:colOff>
      <xdr:row>49</xdr:row>
      <xdr:rowOff>28575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142875</xdr:colOff>
      <xdr:row>37</xdr:row>
      <xdr:rowOff>0</xdr:rowOff>
    </xdr:from>
    <xdr:to>
      <xdr:col>6</xdr:col>
      <xdr:colOff>238125</xdr:colOff>
      <xdr:row>51</xdr:row>
      <xdr:rowOff>76200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114299</xdr:colOff>
      <xdr:row>18</xdr:row>
      <xdr:rowOff>171449</xdr:rowOff>
    </xdr:from>
    <xdr:to>
      <xdr:col>11</xdr:col>
      <xdr:colOff>476249</xdr:colOff>
      <xdr:row>31</xdr:row>
      <xdr:rowOff>142874</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152400</xdr:colOff>
      <xdr:row>5</xdr:row>
      <xdr:rowOff>161925</xdr:rowOff>
    </xdr:from>
    <xdr:to>
      <xdr:col>12</xdr:col>
      <xdr:colOff>85725</xdr:colOff>
      <xdr:row>17</xdr:row>
      <xdr:rowOff>152400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361950</xdr:colOff>
      <xdr:row>42</xdr:row>
      <xdr:rowOff>9525</xdr:rowOff>
    </xdr:from>
    <xdr:to>
      <xdr:col>7</xdr:col>
      <xdr:colOff>1181100</xdr:colOff>
      <xdr:row>51</xdr:row>
      <xdr:rowOff>76200</xdr:rowOff>
    </xdr:to>
    <mc:AlternateContent xmlns:mc="http://schemas.openxmlformats.org/markup-compatibility/2006">
      <mc:Choice xmlns:a14="http://schemas.microsoft.com/office/drawing/2010/main" Requires="a14">
        <xdr:graphicFrame macro="">
          <xdr:nvGraphicFramePr>
            <xdr:cNvPr id="6" name="Trip ID">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Trip ID"/>
            </a:graphicData>
          </a:graphic>
        </xdr:graphicFrame>
      </mc:Choice>
      <mc:Fallback>
        <xdr:sp macro="" textlink="">
          <xdr:nvSpPr>
            <xdr:cNvPr id="0" name=""/>
            <xdr:cNvSpPr>
              <a:spLocks noTextEdit="1"/>
            </xdr:cNvSpPr>
          </xdr:nvSpPr>
          <xdr:spPr>
            <a:xfrm>
              <a:off x="7210425" y="8010525"/>
              <a:ext cx="1800225"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314325</xdr:colOff>
      <xdr:row>34</xdr:row>
      <xdr:rowOff>180975</xdr:rowOff>
    </xdr:from>
    <xdr:to>
      <xdr:col>2</xdr:col>
      <xdr:colOff>342900</xdr:colOff>
      <xdr:row>50</xdr:row>
      <xdr:rowOff>180975</xdr:rowOff>
    </xdr:to>
    <mc:AlternateContent xmlns:mc="http://schemas.openxmlformats.org/markup-compatibility/2006">
      <mc:Choice xmlns:a14="http://schemas.microsoft.com/office/drawing/2010/main" Requires="a14">
        <xdr:graphicFrame macro="">
          <xdr:nvGraphicFramePr>
            <xdr:cNvPr id="7" name="Destination">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1543050" y="6657975"/>
              <a:ext cx="1800225" cy="30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247650</xdr:colOff>
      <xdr:row>5</xdr:row>
      <xdr:rowOff>180975</xdr:rowOff>
    </xdr:from>
    <xdr:to>
      <xdr:col>15</xdr:col>
      <xdr:colOff>247650</xdr:colOff>
      <xdr:row>17</xdr:row>
      <xdr:rowOff>66675</xdr:rowOff>
    </xdr:to>
    <mc:AlternateContent xmlns:mc="http://schemas.openxmlformats.org/markup-compatibility/2006" xmlns:a14="http://schemas.microsoft.com/office/drawing/2010/main">
      <mc:Choice Requires="a14">
        <xdr:graphicFrame macro="">
          <xdr:nvGraphicFramePr>
            <xdr:cNvPr id="8" name="Duration (days)">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Duration (days)"/>
            </a:graphicData>
          </a:graphic>
        </xdr:graphicFrame>
      </mc:Choice>
      <mc:Fallback xmlns="">
        <xdr:sp macro="" textlink="">
          <xdr:nvSpPr>
            <xdr:cNvPr id="0" name=""/>
            <xdr:cNvSpPr>
              <a:spLocks noTextEdit="1"/>
            </xdr:cNvSpPr>
          </xdr:nvSpPr>
          <xdr:spPr>
            <a:xfrm>
              <a:off x="12925425" y="1133475"/>
              <a:ext cx="1800225"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333375</xdr:colOff>
      <xdr:row>33</xdr:row>
      <xdr:rowOff>152401</xdr:rowOff>
    </xdr:from>
    <xdr:to>
      <xdr:col>7</xdr:col>
      <xdr:colOff>1152525</xdr:colOff>
      <xdr:row>41</xdr:row>
      <xdr:rowOff>133350</xdr:rowOff>
    </xdr:to>
    <mc:AlternateContent xmlns:mc="http://schemas.openxmlformats.org/markup-compatibility/2006">
      <mc:Choice xmlns:a14="http://schemas.microsoft.com/office/drawing/2010/main" Requires="a14">
        <xdr:graphicFrame macro="">
          <xdr:nvGraphicFramePr>
            <xdr:cNvPr id="9" name="Accommodation cost">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Accommodation cost"/>
            </a:graphicData>
          </a:graphic>
        </xdr:graphicFrame>
      </mc:Choice>
      <mc:Fallback>
        <xdr:sp macro="" textlink="">
          <xdr:nvSpPr>
            <xdr:cNvPr id="0" name=""/>
            <xdr:cNvSpPr>
              <a:spLocks noTextEdit="1"/>
            </xdr:cNvSpPr>
          </xdr:nvSpPr>
          <xdr:spPr>
            <a:xfrm>
              <a:off x="7181850" y="6438901"/>
              <a:ext cx="1800225" cy="15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323850</xdr:colOff>
      <xdr:row>0</xdr:row>
      <xdr:rowOff>57150</xdr:rowOff>
    </xdr:from>
    <xdr:to>
      <xdr:col>10</xdr:col>
      <xdr:colOff>104775</xdr:colOff>
      <xdr:row>5</xdr:row>
      <xdr:rowOff>85725</xdr:rowOff>
    </xdr:to>
    <mc:AlternateContent xmlns:mc="http://schemas.openxmlformats.org/markup-compatibility/2006" xmlns:a14="http://schemas.microsoft.com/office/drawing/2010/main">
      <mc:Choice Requires="a14">
        <xdr:graphicFrame macro="">
          <xdr:nvGraphicFramePr>
            <xdr:cNvPr id="10" name="Transportation typ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Transportation type"/>
            </a:graphicData>
          </a:graphic>
        </xdr:graphicFrame>
      </mc:Choice>
      <mc:Fallback xmlns:r="http://schemas.openxmlformats.org/officeDocument/2006/relationships" xmlns="">
        <xdr:sp macro="" textlink="">
          <xdr:nvSpPr>
            <xdr:cNvPr id="0" name=""/>
            <xdr:cNvSpPr>
              <a:spLocks noTextEdit="1"/>
            </xdr:cNvSpPr>
          </xdr:nvSpPr>
          <xdr:spPr>
            <a:xfrm>
              <a:off x="9401175" y="57150"/>
              <a:ext cx="1819275" cy="9810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12</xdr:col>
      <xdr:colOff>38100</xdr:colOff>
      <xdr:row>19</xdr:row>
      <xdr:rowOff>19050</xdr:rowOff>
    </xdr:from>
    <xdr:to>
      <xdr:col>15</xdr:col>
      <xdr:colOff>57150</xdr:colOff>
      <xdr:row>31</xdr:row>
      <xdr:rowOff>171449</xdr:rowOff>
    </xdr:to>
    <mc:AlternateContent xmlns:mc="http://schemas.openxmlformats.org/markup-compatibility/2006">
      <mc:Choice xmlns:a14="http://schemas.microsoft.com/office/drawing/2010/main" Requires="a14">
        <xdr:graphicFrame macro="">
          <xdr:nvGraphicFramePr>
            <xdr:cNvPr id="11" name="Transportation cost">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Transportation cost"/>
            </a:graphicData>
          </a:graphic>
        </xdr:graphicFrame>
      </mc:Choice>
      <mc:Fallback>
        <xdr:sp macro="" textlink="">
          <xdr:nvSpPr>
            <xdr:cNvPr id="0" name=""/>
            <xdr:cNvSpPr>
              <a:spLocks noTextEdit="1"/>
            </xdr:cNvSpPr>
          </xdr:nvSpPr>
          <xdr:spPr>
            <a:xfrm>
              <a:off x="12353925" y="3638550"/>
              <a:ext cx="1819275" cy="243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114300</xdr:rowOff>
    </xdr:from>
    <xdr:to>
      <xdr:col>18</xdr:col>
      <xdr:colOff>28575</xdr:colOff>
      <xdr:row>36</xdr:row>
      <xdr:rowOff>85725</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600075" y="304800"/>
          <a:ext cx="10229850" cy="663892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57151</xdr:colOff>
      <xdr:row>2</xdr:row>
      <xdr:rowOff>180976</xdr:rowOff>
    </xdr:from>
    <xdr:to>
      <xdr:col>15</xdr:col>
      <xdr:colOff>19050</xdr:colOff>
      <xdr:row>6</xdr:row>
      <xdr:rowOff>180976</xdr:rowOff>
    </xdr:to>
    <xdr:sp macro="" textlink="">
      <xdr:nvSpPr>
        <xdr:cNvPr id="3" name="Rounded Rectangle 2">
          <a:extLst>
            <a:ext uri="{FF2B5EF4-FFF2-40B4-BE49-F238E27FC236}">
              <a16:creationId xmlns:a16="http://schemas.microsoft.com/office/drawing/2014/main" id="{00000000-0008-0000-0100-000003000000}"/>
            </a:ext>
          </a:extLst>
        </xdr:cNvPr>
        <xdr:cNvSpPr/>
      </xdr:nvSpPr>
      <xdr:spPr>
        <a:xfrm>
          <a:off x="2457451" y="561976"/>
          <a:ext cx="6562724" cy="762000"/>
        </a:xfrm>
        <a:prstGeom prst="roundRect">
          <a:avLst/>
        </a:prstGeom>
        <a:solidFill>
          <a:schemeClr val="accent5">
            <a:lumMod val="75000"/>
          </a:schemeClr>
        </a:solidFill>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3200">
              <a:solidFill>
                <a:schemeClr val="accent6">
                  <a:lumMod val="60000"/>
                  <a:lumOff val="40000"/>
                </a:schemeClr>
              </a:solidFill>
              <a:latin typeface="Algerian" panose="04020705040A02060702" pitchFamily="82" charset="0"/>
            </a:rPr>
            <a:t>SEPI TRAVEL AGENCY</a:t>
          </a:r>
        </a:p>
      </xdr:txBody>
    </xdr:sp>
    <xdr:clientData/>
  </xdr:twoCellAnchor>
  <xdr:twoCellAnchor>
    <xdr:from>
      <xdr:col>9</xdr:col>
      <xdr:colOff>381000</xdr:colOff>
      <xdr:row>8</xdr:row>
      <xdr:rowOff>9525</xdr:rowOff>
    </xdr:from>
    <xdr:to>
      <xdr:col>14</xdr:col>
      <xdr:colOff>513715</xdr:colOff>
      <xdr:row>21</xdr:row>
      <xdr:rowOff>19051</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22</xdr:row>
      <xdr:rowOff>19050</xdr:rowOff>
    </xdr:from>
    <xdr:to>
      <xdr:col>14</xdr:col>
      <xdr:colOff>476250</xdr:colOff>
      <xdr:row>35</xdr:row>
      <xdr:rowOff>152400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247650</xdr:colOff>
      <xdr:row>8</xdr:row>
      <xdr:rowOff>19049</xdr:rowOff>
    </xdr:from>
    <xdr:to>
      <xdr:col>9</xdr:col>
      <xdr:colOff>323851</xdr:colOff>
      <xdr:row>21</xdr:row>
      <xdr:rowOff>47624</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95250</xdr:colOff>
      <xdr:row>9</xdr:row>
      <xdr:rowOff>9524</xdr:rowOff>
    </xdr:from>
    <xdr:to>
      <xdr:col>4</xdr:col>
      <xdr:colOff>171450</xdr:colOff>
      <xdr:row>17</xdr:row>
      <xdr:rowOff>152399</xdr:rowOff>
    </xdr:to>
    <mc:AlternateContent xmlns:mc="http://schemas.openxmlformats.org/markup-compatibility/2006">
      <mc:Choice xmlns:a14="http://schemas.microsoft.com/office/drawing/2010/main" Requires="a14">
        <xdr:graphicFrame macro="">
          <xdr:nvGraphicFramePr>
            <xdr:cNvPr id="9" name="Duration (days) 1">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Duration (days) 1"/>
            </a:graphicData>
          </a:graphic>
        </xdr:graphicFrame>
      </mc:Choice>
      <mc:Fallback>
        <xdr:sp macro="" textlink="">
          <xdr:nvSpPr>
            <xdr:cNvPr id="0" name=""/>
            <xdr:cNvSpPr>
              <a:spLocks noTextEdit="1"/>
            </xdr:cNvSpPr>
          </xdr:nvSpPr>
          <xdr:spPr>
            <a:xfrm>
              <a:off x="695325" y="1724024"/>
              <a:ext cx="1876425"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85726</xdr:colOff>
      <xdr:row>27</xdr:row>
      <xdr:rowOff>161924</xdr:rowOff>
    </xdr:from>
    <xdr:to>
      <xdr:col>4</xdr:col>
      <xdr:colOff>190501</xdr:colOff>
      <xdr:row>36</xdr:row>
      <xdr:rowOff>38099</xdr:rowOff>
    </xdr:to>
    <mc:AlternateContent xmlns:mc="http://schemas.openxmlformats.org/markup-compatibility/2006">
      <mc:Choice xmlns:a14="http://schemas.microsoft.com/office/drawing/2010/main" Requires="a14">
        <xdr:graphicFrame macro="">
          <xdr:nvGraphicFramePr>
            <xdr:cNvPr id="10" name="Destination 1">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Destination 1"/>
            </a:graphicData>
          </a:graphic>
        </xdr:graphicFrame>
      </mc:Choice>
      <mc:Fallback>
        <xdr:sp macro="" textlink="">
          <xdr:nvSpPr>
            <xdr:cNvPr id="0" name=""/>
            <xdr:cNvSpPr>
              <a:spLocks noTextEdit="1"/>
            </xdr:cNvSpPr>
          </xdr:nvSpPr>
          <xdr:spPr>
            <a:xfrm>
              <a:off x="685801" y="5305424"/>
              <a:ext cx="1905000" cy="159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9</xdr:row>
      <xdr:rowOff>123826</xdr:rowOff>
    </xdr:from>
    <xdr:to>
      <xdr:col>17</xdr:col>
      <xdr:colOff>571500</xdr:colOff>
      <xdr:row>21</xdr:row>
      <xdr:rowOff>47626</xdr:rowOff>
    </xdr:to>
    <mc:AlternateContent xmlns:mc="http://schemas.openxmlformats.org/markup-compatibility/2006">
      <mc:Choice xmlns:a14="http://schemas.microsoft.com/office/drawing/2010/main" Requires="a14">
        <xdr:graphicFrame macro="">
          <xdr:nvGraphicFramePr>
            <xdr:cNvPr id="11" name="Accommodation cost 1">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Accommodation cost 1"/>
            </a:graphicData>
          </a:graphic>
        </xdr:graphicFrame>
      </mc:Choice>
      <mc:Fallback>
        <xdr:sp macro="" textlink="">
          <xdr:nvSpPr>
            <xdr:cNvPr id="0" name=""/>
            <xdr:cNvSpPr>
              <a:spLocks noTextEdit="1"/>
            </xdr:cNvSpPr>
          </xdr:nvSpPr>
          <xdr:spPr>
            <a:xfrm>
              <a:off x="8972550" y="1838326"/>
              <a:ext cx="1800225"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571500</xdr:colOff>
      <xdr:row>21</xdr:row>
      <xdr:rowOff>161925</xdr:rowOff>
    </xdr:from>
    <xdr:to>
      <xdr:col>17</xdr:col>
      <xdr:colOff>571500</xdr:colOff>
      <xdr:row>36</xdr:row>
      <xdr:rowOff>28575</xdr:rowOff>
    </xdr:to>
    <mc:AlternateContent xmlns:mc="http://schemas.openxmlformats.org/markup-compatibility/2006">
      <mc:Choice xmlns:a14="http://schemas.microsoft.com/office/drawing/2010/main" Requires="a14">
        <xdr:graphicFrame macro="">
          <xdr:nvGraphicFramePr>
            <xdr:cNvPr id="12" name="Transportation cost 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Transportation cost 1"/>
            </a:graphicData>
          </a:graphic>
        </xdr:graphicFrame>
      </mc:Choice>
      <mc:Fallback>
        <xdr:sp macro="" textlink="">
          <xdr:nvSpPr>
            <xdr:cNvPr id="0" name=""/>
            <xdr:cNvSpPr>
              <a:spLocks noTextEdit="1"/>
            </xdr:cNvSpPr>
          </xdr:nvSpPr>
          <xdr:spPr>
            <a:xfrm>
              <a:off x="8972550" y="4162425"/>
              <a:ext cx="1800225" cy="272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509337</xdr:colOff>
      <xdr:row>1</xdr:row>
      <xdr:rowOff>38100</xdr:rowOff>
    </xdr:from>
    <xdr:to>
      <xdr:col>4</xdr:col>
      <xdr:colOff>51638</xdr:colOff>
      <xdr:row>8</xdr:row>
      <xdr:rowOff>180975</xdr:rowOff>
    </xdr:to>
    <xdr:pic>
      <xdr:nvPicPr>
        <xdr:cNvPr id="15" name="Picture 14" descr="Mis apuntes de... Raspberry Pi entre otros">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9337" y="228600"/>
          <a:ext cx="1942601" cy="1476375"/>
        </a:xfrm>
        <a:prstGeom prst="rect">
          <a:avLst/>
        </a:prstGeom>
        <a:ln>
          <a:noFill/>
        </a:ln>
        <a:effectLst>
          <a:softEdge rad="112500"/>
        </a:effectLst>
      </xdr:spPr>
    </xdr:pic>
    <xdr:clientData/>
  </xdr:twoCellAnchor>
  <xdr:twoCellAnchor editAs="oneCell">
    <xdr:from>
      <xdr:col>15</xdr:col>
      <xdr:colOff>81243</xdr:colOff>
      <xdr:row>1</xdr:row>
      <xdr:rowOff>9524</xdr:rowOff>
    </xdr:from>
    <xdr:to>
      <xdr:col>18</xdr:col>
      <xdr:colOff>152399</xdr:colOff>
      <xdr:row>9</xdr:row>
      <xdr:rowOff>57149</xdr:rowOff>
    </xdr:to>
    <xdr:pic>
      <xdr:nvPicPr>
        <xdr:cNvPr id="16" name="Picture 15" descr="File:AMT &lt;strong&gt;Train&lt;/strong&gt; Vaudreuil.jpg">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82368" y="200024"/>
          <a:ext cx="1871381" cy="1571625"/>
        </a:xfrm>
        <a:prstGeom prst="rect">
          <a:avLst/>
        </a:prstGeom>
        <a:ln>
          <a:noFill/>
        </a:ln>
        <a:effectLst>
          <a:softEdge rad="112500"/>
        </a:effectLst>
      </xdr:spPr>
    </xdr:pic>
    <xdr:clientData/>
  </xdr:twoCellAnchor>
  <xdr:twoCellAnchor editAs="oneCell">
    <xdr:from>
      <xdr:col>1</xdr:col>
      <xdr:colOff>95250</xdr:colOff>
      <xdr:row>18</xdr:row>
      <xdr:rowOff>76200</xdr:rowOff>
    </xdr:from>
    <xdr:to>
      <xdr:col>4</xdr:col>
      <xdr:colOff>152400</xdr:colOff>
      <xdr:row>27</xdr:row>
      <xdr:rowOff>114300</xdr:rowOff>
    </xdr:to>
    <mc:AlternateContent xmlns:mc="http://schemas.openxmlformats.org/markup-compatibility/2006">
      <mc:Choice xmlns:a14="http://schemas.microsoft.com/office/drawing/2010/main" Requires="a14">
        <xdr:graphicFrame macro="">
          <xdr:nvGraphicFramePr>
            <xdr:cNvPr id="17" name="Trip ID 1">
              <a:extLst>
                <a:ext uri="{FF2B5EF4-FFF2-40B4-BE49-F238E27FC236}">
                  <a16:creationId xmlns:a16="http://schemas.microsoft.com/office/drawing/2014/main" id="{E27C6570-B3A7-4DBA-A74C-C64B3F1DA492}"/>
                </a:ext>
              </a:extLst>
            </xdr:cNvPr>
            <xdr:cNvGraphicFramePr/>
          </xdr:nvGraphicFramePr>
          <xdr:xfrm>
            <a:off x="0" y="0"/>
            <a:ext cx="0" cy="0"/>
          </xdr:xfrm>
          <a:graphic>
            <a:graphicData uri="http://schemas.microsoft.com/office/drawing/2010/slicer">
              <sle:slicer xmlns:sle="http://schemas.microsoft.com/office/drawing/2010/slicer" name="Trip ID 1"/>
            </a:graphicData>
          </a:graphic>
        </xdr:graphicFrame>
      </mc:Choice>
      <mc:Fallback>
        <xdr:sp macro="" textlink="">
          <xdr:nvSpPr>
            <xdr:cNvPr id="0" name=""/>
            <xdr:cNvSpPr>
              <a:spLocks noTextEdit="1"/>
            </xdr:cNvSpPr>
          </xdr:nvSpPr>
          <xdr:spPr>
            <a:xfrm>
              <a:off x="695325" y="3505200"/>
              <a:ext cx="1857375"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177549</xdr:colOff>
      <xdr:row>2</xdr:row>
      <xdr:rowOff>154663</xdr:rowOff>
    </xdr:from>
    <xdr:to>
      <xdr:col>14</xdr:col>
      <xdr:colOff>190499</xdr:colOff>
      <xdr:row>6</xdr:row>
      <xdr:rowOff>66675</xdr:rowOff>
    </xdr:to>
    <xdr:pic>
      <xdr:nvPicPr>
        <xdr:cNvPr id="19" name="Picture 18">
          <a:extLst>
            <a:ext uri="{FF2B5EF4-FFF2-40B4-BE49-F238E27FC236}">
              <a16:creationId xmlns:a16="http://schemas.microsoft.com/office/drawing/2014/main" id="{5277EA94-51EE-4708-B281-E293883066D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21101973" flipH="1">
          <a:off x="7978524" y="535663"/>
          <a:ext cx="613025" cy="674012"/>
        </a:xfrm>
        <a:prstGeom prst="rect">
          <a:avLst/>
        </a:prstGeom>
        <a:ln>
          <a:noFill/>
        </a:ln>
        <a:effectLst>
          <a:softEdge rad="112500"/>
        </a:effectLst>
      </xdr:spPr>
    </xdr:pic>
    <xdr:clientData/>
  </xdr:twoCellAnchor>
  <xdr:twoCellAnchor editAs="oneCell">
    <xdr:from>
      <xdr:col>4</xdr:col>
      <xdr:colOff>523875</xdr:colOff>
      <xdr:row>2</xdr:row>
      <xdr:rowOff>142876</xdr:rowOff>
    </xdr:from>
    <xdr:to>
      <xdr:col>5</xdr:col>
      <xdr:colOff>523875</xdr:colOff>
      <xdr:row>6</xdr:row>
      <xdr:rowOff>47625</xdr:rowOff>
    </xdr:to>
    <xdr:pic>
      <xdr:nvPicPr>
        <xdr:cNvPr id="20" name="Picture 19">
          <a:extLst>
            <a:ext uri="{FF2B5EF4-FFF2-40B4-BE49-F238E27FC236}">
              <a16:creationId xmlns:a16="http://schemas.microsoft.com/office/drawing/2014/main" id="{F2E855CA-12DC-4380-8E56-9CB2EFB9FFE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425978">
          <a:off x="2924175" y="523876"/>
          <a:ext cx="600075" cy="666749"/>
        </a:xfrm>
        <a:prstGeom prst="rect">
          <a:avLst/>
        </a:prstGeom>
        <a:ln>
          <a:noFill/>
        </a:ln>
        <a:effectLst>
          <a:softEdge rad="112500"/>
        </a:effectLst>
      </xdr:spPr>
    </xdr:pic>
    <xdr:clientData/>
  </xdr:twoCellAnchor>
  <xdr:twoCellAnchor>
    <xdr:from>
      <xdr:col>4</xdr:col>
      <xdr:colOff>238125</xdr:colOff>
      <xdr:row>22</xdr:row>
      <xdr:rowOff>19049</xdr:rowOff>
    </xdr:from>
    <xdr:to>
      <xdr:col>9</xdr:col>
      <xdr:colOff>409575</xdr:colOff>
      <xdr:row>35</xdr:row>
      <xdr:rowOff>142874</xdr:rowOff>
    </xdr:to>
    <xdr:graphicFrame macro="">
      <xdr:nvGraphicFramePr>
        <xdr:cNvPr id="22" name="Chart 21">
          <a:extLst>
            <a:ext uri="{FF2B5EF4-FFF2-40B4-BE49-F238E27FC236}">
              <a16:creationId xmlns:a16="http://schemas.microsoft.com/office/drawing/2014/main" id="{73FBE321-D15D-4C18-AE66-6ABC88B4F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04.312704513897" createdVersion="6" refreshedVersion="6" minRefreshableVersion="3" recordCount="15" xr:uid="{00000000-000A-0000-FFFF-FFFF00000000}">
  <cacheSource type="worksheet">
    <worksheetSource name="Table1"/>
  </cacheSource>
  <cacheFields count="13">
    <cacheField name="Trip ID" numFmtId="0">
      <sharedItems containsSemiMixedTypes="0" containsString="0" containsNumber="1" containsInteger="1" minValue="1" maxValue="15" count="15">
        <n v="1"/>
        <n v="2"/>
        <n v="3"/>
        <n v="4"/>
        <n v="5"/>
        <n v="6"/>
        <n v="7"/>
        <n v="8"/>
        <n v="9"/>
        <n v="10"/>
        <n v="11"/>
        <n v="12"/>
        <n v="13"/>
        <n v="14"/>
        <n v="15"/>
      </sharedItems>
    </cacheField>
    <cacheField name="Destination" numFmtId="0">
      <sharedItems count="15">
        <s v="London, UK"/>
        <s v="Phuket, Thailand"/>
        <s v="Bali, Indonesia"/>
        <s v="New York, USA"/>
        <s v="Tokyo, Japan"/>
        <s v="Paris, France"/>
        <s v="Sydney, Australia"/>
        <s v="Rio de Janeiro, Brazil"/>
        <s v="Amsterdam, Netherlands"/>
        <s v="Dubai, United Arab Emirates"/>
        <s v="Cancun, Mexico"/>
        <s v="Barcelona, Spain"/>
        <s v="Honolulu, Hawaii"/>
        <s v="Berlin, Germany"/>
        <s v="Marrakech, Morocco"/>
      </sharedItems>
    </cacheField>
    <cacheField name="Start date" numFmtId="14">
      <sharedItems containsSemiMixedTypes="0" containsNonDate="0" containsDate="1" containsString="0" minDate="2023-05-01T00:00:00" maxDate="2024-08-21T00:00:00"/>
    </cacheField>
    <cacheField name="End date" numFmtId="14">
      <sharedItems containsSemiMixedTypes="0" containsNonDate="0" containsDate="1" containsString="0" minDate="2023-05-08T00:00:00" maxDate="2024-08-28T00:00:00"/>
    </cacheField>
    <cacheField name="Duration (days)" numFmtId="0">
      <sharedItems containsSemiMixedTypes="0" containsString="0" containsNumber="1" containsInteger="1" minValue="5" maxValue="14" count="6">
        <n v="7"/>
        <n v="5"/>
        <n v="14"/>
        <n v="10"/>
        <n v="8"/>
        <n v="9"/>
      </sharedItems>
    </cacheField>
    <cacheField name="Traveler name" numFmtId="0">
      <sharedItems count="15">
        <s v="John Smith"/>
        <s v="Jane Doe"/>
        <s v="David Lee"/>
        <s v="Sarah Johnson"/>
        <s v="Kim Nguyen"/>
        <s v="Michael Brown"/>
        <s v="Emily Davis"/>
        <s v="Lucas Santos"/>
        <s v="Laura Janssen"/>
        <s v="Mohammed Ali"/>
        <s v="Ana Hernandez"/>
        <s v="Carlos Garcia"/>
        <s v="Lily Wong"/>
        <s v="Hans Mueller"/>
        <s v="Fatima Khouri"/>
      </sharedItems>
    </cacheField>
    <cacheField name="Traveler age" numFmtId="0">
      <sharedItems containsSemiMixedTypes="0" containsNonDate="0" containsString="0" containsNumber="1" containsInteger="1" minValue="25" maxValue="48"/>
    </cacheField>
    <cacheField name="Traveler gender" numFmtId="0">
      <sharedItems containsNonDate="0"/>
    </cacheField>
    <cacheField name="Traveler nationality" numFmtId="0">
      <sharedItems containsNonDate="0"/>
    </cacheField>
    <cacheField name="Accommodation type" numFmtId="0">
      <sharedItems containsNonDate="0"/>
    </cacheField>
    <cacheField name="Accommodation cost" numFmtId="0">
      <sharedItems containsSemiMixedTypes="0" containsString="0" containsNumber="1" containsInteger="1" minValue="500" maxValue="3000" count="12">
        <n v="1200"/>
        <n v="800"/>
        <n v="1000"/>
        <n v="2000"/>
        <n v="700"/>
        <n v="1500"/>
        <n v="500"/>
        <n v="900"/>
        <n v="2500"/>
        <n v="3000"/>
        <n v="1400"/>
        <n v="600"/>
      </sharedItems>
    </cacheField>
    <cacheField name="Transportation type" numFmtId="0">
      <sharedItems count="2">
        <s v="Flight"/>
        <s v="Train"/>
      </sharedItems>
    </cacheField>
    <cacheField name="Transportation cost" numFmtId="0">
      <sharedItems containsSemiMixedTypes="0" containsString="0" containsNumber="1" containsInteger="1" minValue="100" maxValue="1200" count="9">
        <n v="600"/>
        <n v="500"/>
        <n v="700"/>
        <n v="1000"/>
        <n v="200"/>
        <n v="800"/>
        <n v="1200"/>
        <n v="100"/>
        <n v="4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x v="0"/>
    <x v="0"/>
    <d v="2023-05-01T00:00:00"/>
    <d v="2023-05-08T00:00:00"/>
    <x v="0"/>
    <x v="0"/>
    <n v="35"/>
    <s v="Male"/>
    <s v="American"/>
    <s v="Hotel"/>
    <x v="0"/>
    <x v="0"/>
    <x v="0"/>
  </r>
  <r>
    <x v="1"/>
    <x v="1"/>
    <d v="2023-06-15T00:00:00"/>
    <d v="2023-06-20T00:00:00"/>
    <x v="1"/>
    <x v="1"/>
    <n v="28"/>
    <s v="Female"/>
    <s v="Canadian"/>
    <s v="Resort"/>
    <x v="1"/>
    <x v="0"/>
    <x v="1"/>
  </r>
  <r>
    <x v="2"/>
    <x v="2"/>
    <d v="2023-07-01T00:00:00"/>
    <d v="2023-07-08T00:00:00"/>
    <x v="0"/>
    <x v="2"/>
    <n v="45"/>
    <s v="Male"/>
    <s v="Korean"/>
    <s v="Villa"/>
    <x v="2"/>
    <x v="0"/>
    <x v="2"/>
  </r>
  <r>
    <x v="3"/>
    <x v="3"/>
    <d v="2023-08-15T00:00:00"/>
    <d v="2023-08-29T00:00:00"/>
    <x v="2"/>
    <x v="3"/>
    <n v="29"/>
    <s v="Female"/>
    <s v="British"/>
    <s v="Hotel"/>
    <x v="3"/>
    <x v="0"/>
    <x v="3"/>
  </r>
  <r>
    <x v="4"/>
    <x v="4"/>
    <d v="2023-09-10T00:00:00"/>
    <d v="2023-09-17T00:00:00"/>
    <x v="0"/>
    <x v="4"/>
    <n v="26"/>
    <s v="Female"/>
    <s v="Vietnamese"/>
    <s v="Airbnb"/>
    <x v="4"/>
    <x v="1"/>
    <x v="4"/>
  </r>
  <r>
    <x v="5"/>
    <x v="5"/>
    <d v="2023-10-05T00:00:00"/>
    <d v="2023-10-10T00:00:00"/>
    <x v="1"/>
    <x v="5"/>
    <n v="42"/>
    <s v="Male"/>
    <s v="American"/>
    <s v="Hotel"/>
    <x v="5"/>
    <x v="0"/>
    <x v="5"/>
  </r>
  <r>
    <x v="6"/>
    <x v="6"/>
    <d v="2023-11-20T00:00:00"/>
    <d v="2023-11-30T00:00:00"/>
    <x v="3"/>
    <x v="6"/>
    <n v="33"/>
    <s v="Female"/>
    <s v="Australian"/>
    <s v="Hostel"/>
    <x v="6"/>
    <x v="0"/>
    <x v="6"/>
  </r>
  <r>
    <x v="7"/>
    <x v="7"/>
    <d v="2024-01-05T00:00:00"/>
    <d v="2024-01-12T00:00:00"/>
    <x v="0"/>
    <x v="7"/>
    <n v="25"/>
    <s v="Male"/>
    <s v="Brazilian"/>
    <s v="Airbnb"/>
    <x v="7"/>
    <x v="0"/>
    <x v="0"/>
  </r>
  <r>
    <x v="8"/>
    <x v="8"/>
    <d v="2024-02-14T00:00:00"/>
    <d v="2024-02-21T00:00:00"/>
    <x v="0"/>
    <x v="8"/>
    <n v="31"/>
    <s v="Female"/>
    <s v="Dutch"/>
    <s v="Hotel"/>
    <x v="0"/>
    <x v="1"/>
    <x v="4"/>
  </r>
  <r>
    <x v="9"/>
    <x v="9"/>
    <d v="2024-03-10T00:00:00"/>
    <d v="2024-03-17T00:00:00"/>
    <x v="0"/>
    <x v="9"/>
    <n v="39"/>
    <s v="Male"/>
    <s v="Emirati"/>
    <s v="Resort"/>
    <x v="8"/>
    <x v="0"/>
    <x v="5"/>
  </r>
  <r>
    <x v="10"/>
    <x v="10"/>
    <d v="2024-04-01T00:00:00"/>
    <d v="2024-04-08T00:00:00"/>
    <x v="0"/>
    <x v="10"/>
    <n v="27"/>
    <s v="Female"/>
    <s v="Mexican"/>
    <s v="Hotel"/>
    <x v="2"/>
    <x v="0"/>
    <x v="1"/>
  </r>
  <r>
    <x v="11"/>
    <x v="11"/>
    <d v="2024-05-15T00:00:00"/>
    <d v="2024-05-22T00:00:00"/>
    <x v="0"/>
    <x v="11"/>
    <n v="36"/>
    <s v="Male"/>
    <s v="Spanish"/>
    <s v="Airbnb"/>
    <x v="1"/>
    <x v="1"/>
    <x v="7"/>
  </r>
  <r>
    <x v="12"/>
    <x v="12"/>
    <d v="2024-06-10T00:00:00"/>
    <d v="2024-06-18T00:00:00"/>
    <x v="4"/>
    <x v="12"/>
    <n v="29"/>
    <s v="Female"/>
    <s v="Chinese"/>
    <s v="Resort"/>
    <x v="9"/>
    <x v="0"/>
    <x v="6"/>
  </r>
  <r>
    <x v="13"/>
    <x v="13"/>
    <d v="2024-07-01T00:00:00"/>
    <d v="2024-07-10T00:00:00"/>
    <x v="5"/>
    <x v="13"/>
    <n v="48"/>
    <s v="Male"/>
    <s v="German"/>
    <s v="Hotel"/>
    <x v="10"/>
    <x v="0"/>
    <x v="2"/>
  </r>
  <r>
    <x v="14"/>
    <x v="14"/>
    <d v="2024-08-20T00:00:00"/>
    <d v="2024-08-27T00:00:00"/>
    <x v="0"/>
    <x v="14"/>
    <n v="26"/>
    <s v="Female"/>
    <s v="Moroccan"/>
    <s v="Riad"/>
    <x v="11"/>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chartFormat="4">
  <location ref="G3:H14" firstHeaderRow="1" firstDataRow="1" firstDataCol="1"/>
  <pivotFields count="13">
    <pivotField showAll="0">
      <items count="16">
        <item x="0"/>
        <item x="1"/>
        <item x="2"/>
        <item x="3"/>
        <item x="4"/>
        <item x="5"/>
        <item x="6"/>
        <item x="7"/>
        <item x="8"/>
        <item x="9"/>
        <item x="10"/>
        <item x="11"/>
        <item x="12"/>
        <item x="13"/>
        <item x="14"/>
        <item t="default"/>
      </items>
    </pivotField>
    <pivotField axis="axisRow" showAll="0">
      <items count="16">
        <item x="8"/>
        <item x="2"/>
        <item x="11"/>
        <item x="13"/>
        <item x="10"/>
        <item x="9"/>
        <item x="12"/>
        <item x="0"/>
        <item x="14"/>
        <item x="3"/>
        <item x="5"/>
        <item x="1"/>
        <item x="7"/>
        <item x="6"/>
        <item x="4"/>
        <item t="default"/>
      </items>
    </pivotField>
    <pivotField numFmtId="14" showAll="0"/>
    <pivotField numFmtId="14" showAll="0"/>
    <pivotField dataField="1" showAll="0">
      <items count="7">
        <item x="1"/>
        <item x="0"/>
        <item x="4"/>
        <item x="5"/>
        <item x="3"/>
        <item x="2"/>
        <item t="default"/>
      </items>
    </pivotField>
    <pivotField showAll="0"/>
    <pivotField showAll="0"/>
    <pivotField showAll="0"/>
    <pivotField showAll="0"/>
    <pivotField showAll="0"/>
    <pivotField showAll="0">
      <items count="13">
        <item h="1" x="6"/>
        <item h="1" x="11"/>
        <item h="1" x="4"/>
        <item h="1" x="1"/>
        <item x="7"/>
        <item x="2"/>
        <item x="0"/>
        <item x="10"/>
        <item x="5"/>
        <item x="3"/>
        <item x="8"/>
        <item x="9"/>
        <item t="default"/>
      </items>
    </pivotField>
    <pivotField showAll="0"/>
    <pivotField showAll="0">
      <items count="10">
        <item x="7"/>
        <item x="4"/>
        <item x="8"/>
        <item x="1"/>
        <item x="0"/>
        <item x="2"/>
        <item x="5"/>
        <item x="3"/>
        <item x="6"/>
        <item t="default"/>
      </items>
    </pivotField>
  </pivotFields>
  <rowFields count="1">
    <field x="1"/>
  </rowFields>
  <rowItems count="11">
    <i>
      <x/>
    </i>
    <i>
      <x v="1"/>
    </i>
    <i>
      <x v="3"/>
    </i>
    <i>
      <x v="4"/>
    </i>
    <i>
      <x v="5"/>
    </i>
    <i>
      <x v="6"/>
    </i>
    <i>
      <x v="7"/>
    </i>
    <i>
      <x v="9"/>
    </i>
    <i>
      <x v="10"/>
    </i>
    <i>
      <x v="12"/>
    </i>
    <i t="grand">
      <x/>
    </i>
  </rowItems>
  <colItems count="1">
    <i/>
  </colItems>
  <dataFields count="1">
    <dataField name="Sum of Duration (days)" fld="4" baseField="0" baseItem="0"/>
  </dataFields>
  <chartFormats count="3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 chart="3" format="6">
      <pivotArea type="data" outline="0" fieldPosition="0">
        <references count="2">
          <reference field="4294967294" count="1" selected="0">
            <x v="0"/>
          </reference>
          <reference field="1" count="1" selected="0">
            <x v="5"/>
          </reference>
        </references>
      </pivotArea>
    </chartFormat>
    <chartFormat chart="3" format="7">
      <pivotArea type="data" outline="0" fieldPosition="0">
        <references count="2">
          <reference field="4294967294" count="1" selected="0">
            <x v="0"/>
          </reference>
          <reference field="1" count="1" selected="0">
            <x v="6"/>
          </reference>
        </references>
      </pivotArea>
    </chartFormat>
    <chartFormat chart="3" format="8">
      <pivotArea type="data" outline="0" fieldPosition="0">
        <references count="2">
          <reference field="4294967294" count="1" selected="0">
            <x v="0"/>
          </reference>
          <reference field="1" count="1" selected="0">
            <x v="7"/>
          </reference>
        </references>
      </pivotArea>
    </chartFormat>
    <chartFormat chart="3" format="9">
      <pivotArea type="data" outline="0" fieldPosition="0">
        <references count="2">
          <reference field="4294967294" count="1" selected="0">
            <x v="0"/>
          </reference>
          <reference field="1" count="1" selected="0">
            <x v="8"/>
          </reference>
        </references>
      </pivotArea>
    </chartFormat>
    <chartFormat chart="3" format="10">
      <pivotArea type="data" outline="0" fieldPosition="0">
        <references count="2">
          <reference field="4294967294" count="1" selected="0">
            <x v="0"/>
          </reference>
          <reference field="1" count="1" selected="0">
            <x v="9"/>
          </reference>
        </references>
      </pivotArea>
    </chartFormat>
    <chartFormat chart="3" format="11">
      <pivotArea type="data" outline="0" fieldPosition="0">
        <references count="2">
          <reference field="4294967294" count="1" selected="0">
            <x v="0"/>
          </reference>
          <reference field="1" count="1" selected="0">
            <x v="10"/>
          </reference>
        </references>
      </pivotArea>
    </chartFormat>
    <chartFormat chart="3" format="12">
      <pivotArea type="data" outline="0" fieldPosition="0">
        <references count="2">
          <reference field="4294967294" count="1" selected="0">
            <x v="0"/>
          </reference>
          <reference field="1" count="1" selected="0">
            <x v="11"/>
          </reference>
        </references>
      </pivotArea>
    </chartFormat>
    <chartFormat chart="3" format="13">
      <pivotArea type="data" outline="0" fieldPosition="0">
        <references count="2">
          <reference field="4294967294" count="1" selected="0">
            <x v="0"/>
          </reference>
          <reference field="1" count="1" selected="0">
            <x v="12"/>
          </reference>
        </references>
      </pivotArea>
    </chartFormat>
    <chartFormat chart="3" format="14">
      <pivotArea type="data" outline="0" fieldPosition="0">
        <references count="2">
          <reference field="4294967294" count="1" selected="0">
            <x v="0"/>
          </reference>
          <reference field="1" count="1" selected="0">
            <x v="13"/>
          </reference>
        </references>
      </pivotArea>
    </chartFormat>
    <chartFormat chart="3" format="15">
      <pivotArea type="data" outline="0" fieldPosition="0">
        <references count="2">
          <reference field="4294967294" count="1" selected="0">
            <x v="0"/>
          </reference>
          <reference field="1" count="1" selected="0">
            <x v="14"/>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 chart="1" format="9">
      <pivotArea type="data" outline="0" fieldPosition="0">
        <references count="2">
          <reference field="4294967294" count="1" selected="0">
            <x v="0"/>
          </reference>
          <reference field="1" count="1" selected="0">
            <x v="8"/>
          </reference>
        </references>
      </pivotArea>
    </chartFormat>
    <chartFormat chart="1" format="10">
      <pivotArea type="data" outline="0" fieldPosition="0">
        <references count="2">
          <reference field="4294967294" count="1" selected="0">
            <x v="0"/>
          </reference>
          <reference field="1" count="1" selected="0">
            <x v="9"/>
          </reference>
        </references>
      </pivotArea>
    </chartFormat>
    <chartFormat chart="1" format="11">
      <pivotArea type="data" outline="0" fieldPosition="0">
        <references count="2">
          <reference field="4294967294" count="1" selected="0">
            <x v="0"/>
          </reference>
          <reference field="1" count="1" selected="0">
            <x v="10"/>
          </reference>
        </references>
      </pivotArea>
    </chartFormat>
    <chartFormat chart="1" format="12">
      <pivotArea type="data" outline="0" fieldPosition="0">
        <references count="2">
          <reference field="4294967294" count="1" selected="0">
            <x v="0"/>
          </reference>
          <reference field="1" count="1" selected="0">
            <x v="11"/>
          </reference>
        </references>
      </pivotArea>
    </chartFormat>
    <chartFormat chart="1" format="13">
      <pivotArea type="data" outline="0" fieldPosition="0">
        <references count="2">
          <reference field="4294967294" count="1" selected="0">
            <x v="0"/>
          </reference>
          <reference field="1" count="1" selected="0">
            <x v="12"/>
          </reference>
        </references>
      </pivotArea>
    </chartFormat>
    <chartFormat chart="1" format="14">
      <pivotArea type="data" outline="0" fieldPosition="0">
        <references count="2">
          <reference field="4294967294" count="1" selected="0">
            <x v="0"/>
          </reference>
          <reference field="1" count="1" selected="0">
            <x v="13"/>
          </reference>
        </references>
      </pivotArea>
    </chartFormat>
    <chartFormat chart="1" format="15">
      <pivotArea type="data" outline="0" fieldPosition="0">
        <references count="2">
          <reference field="4294967294" count="1" selected="0">
            <x v="0"/>
          </reference>
          <reference field="1" count="1" selected="0">
            <x v="1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chartFormat="8">
  <location ref="D3:E14" firstHeaderRow="1" firstDataRow="1" firstDataCol="1"/>
  <pivotFields count="13">
    <pivotField dataField="1" showAll="0">
      <items count="16">
        <item x="0"/>
        <item x="1"/>
        <item x="2"/>
        <item x="3"/>
        <item x="4"/>
        <item x="5"/>
        <item x="6"/>
        <item x="7"/>
        <item x="8"/>
        <item x="9"/>
        <item x="10"/>
        <item x="11"/>
        <item x="12"/>
        <item x="13"/>
        <item x="14"/>
        <item t="default"/>
      </items>
    </pivotField>
    <pivotField showAll="0">
      <items count="16">
        <item x="8"/>
        <item x="2"/>
        <item x="11"/>
        <item x="13"/>
        <item x="10"/>
        <item x="9"/>
        <item x="12"/>
        <item x="0"/>
        <item x="14"/>
        <item x="3"/>
        <item x="5"/>
        <item x="1"/>
        <item x="7"/>
        <item x="6"/>
        <item x="4"/>
        <item t="default"/>
      </items>
    </pivotField>
    <pivotField numFmtId="14" showAll="0"/>
    <pivotField numFmtId="14" showAll="0"/>
    <pivotField showAll="0">
      <items count="7">
        <item x="1"/>
        <item x="0"/>
        <item x="4"/>
        <item x="5"/>
        <item x="3"/>
        <item x="2"/>
        <item t="default"/>
      </items>
    </pivotField>
    <pivotField axis="axisRow" showAll="0">
      <items count="16">
        <item x="10"/>
        <item x="11"/>
        <item x="2"/>
        <item x="6"/>
        <item x="14"/>
        <item x="13"/>
        <item x="1"/>
        <item x="0"/>
        <item x="4"/>
        <item x="8"/>
        <item x="12"/>
        <item x="7"/>
        <item x="5"/>
        <item x="9"/>
        <item x="3"/>
        <item t="default"/>
      </items>
    </pivotField>
    <pivotField showAll="0"/>
    <pivotField showAll="0"/>
    <pivotField showAll="0"/>
    <pivotField showAll="0"/>
    <pivotField showAll="0">
      <items count="13">
        <item h="1" x="6"/>
        <item h="1" x="11"/>
        <item h="1" x="4"/>
        <item h="1" x="1"/>
        <item x="7"/>
        <item x="2"/>
        <item x="0"/>
        <item x="10"/>
        <item x="5"/>
        <item x="3"/>
        <item x="8"/>
        <item x="9"/>
        <item t="default"/>
      </items>
    </pivotField>
    <pivotField showAll="0"/>
    <pivotField showAll="0">
      <items count="10">
        <item x="7"/>
        <item x="4"/>
        <item x="8"/>
        <item x="1"/>
        <item x="0"/>
        <item x="2"/>
        <item x="5"/>
        <item x="3"/>
        <item x="6"/>
        <item t="default"/>
      </items>
    </pivotField>
  </pivotFields>
  <rowFields count="1">
    <field x="5"/>
  </rowFields>
  <rowItems count="11">
    <i>
      <x/>
    </i>
    <i>
      <x v="2"/>
    </i>
    <i>
      <x v="5"/>
    </i>
    <i>
      <x v="7"/>
    </i>
    <i>
      <x v="9"/>
    </i>
    <i>
      <x v="10"/>
    </i>
    <i>
      <x v="11"/>
    </i>
    <i>
      <x v="12"/>
    </i>
    <i>
      <x v="13"/>
    </i>
    <i>
      <x v="14"/>
    </i>
    <i t="grand">
      <x/>
    </i>
  </rowItems>
  <colItems count="1">
    <i/>
  </colItems>
  <dataFields count="1">
    <dataField name="Sum of Trip ID" fld="0" baseField="0" baseItem="0"/>
  </dataFields>
  <chartFormats count="4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3"/>
          </reference>
        </references>
      </pivotArea>
    </chartFormat>
    <chartFormat chart="4" format="5">
      <pivotArea type="data" outline="0" fieldPosition="0">
        <references count="2">
          <reference field="4294967294" count="1" selected="0">
            <x v="0"/>
          </reference>
          <reference field="5" count="1" selected="0">
            <x v="4"/>
          </reference>
        </references>
      </pivotArea>
    </chartFormat>
    <chartFormat chart="4" format="6">
      <pivotArea type="data" outline="0" fieldPosition="0">
        <references count="2">
          <reference field="4294967294" count="1" selected="0">
            <x v="0"/>
          </reference>
          <reference field="5" count="1" selected="0">
            <x v="5"/>
          </reference>
        </references>
      </pivotArea>
    </chartFormat>
    <chartFormat chart="4" format="7">
      <pivotArea type="data" outline="0" fieldPosition="0">
        <references count="2">
          <reference field="4294967294" count="1" selected="0">
            <x v="0"/>
          </reference>
          <reference field="5" count="1" selected="0">
            <x v="6"/>
          </reference>
        </references>
      </pivotArea>
    </chartFormat>
    <chartFormat chart="4" format="8">
      <pivotArea type="data" outline="0" fieldPosition="0">
        <references count="2">
          <reference field="4294967294" count="1" selected="0">
            <x v="0"/>
          </reference>
          <reference field="5" count="1" selected="0">
            <x v="7"/>
          </reference>
        </references>
      </pivotArea>
    </chartFormat>
    <chartFormat chart="4" format="9">
      <pivotArea type="data" outline="0" fieldPosition="0">
        <references count="2">
          <reference field="4294967294" count="1" selected="0">
            <x v="0"/>
          </reference>
          <reference field="5" count="1" selected="0">
            <x v="8"/>
          </reference>
        </references>
      </pivotArea>
    </chartFormat>
    <chartFormat chart="4" format="10">
      <pivotArea type="data" outline="0" fieldPosition="0">
        <references count="2">
          <reference field="4294967294" count="1" selected="0">
            <x v="0"/>
          </reference>
          <reference field="5" count="1" selected="0">
            <x v="9"/>
          </reference>
        </references>
      </pivotArea>
    </chartFormat>
    <chartFormat chart="4" format="11">
      <pivotArea type="data" outline="0" fieldPosition="0">
        <references count="2">
          <reference field="4294967294" count="1" selected="0">
            <x v="0"/>
          </reference>
          <reference field="5" count="1" selected="0">
            <x v="10"/>
          </reference>
        </references>
      </pivotArea>
    </chartFormat>
    <chartFormat chart="4" format="12">
      <pivotArea type="data" outline="0" fieldPosition="0">
        <references count="2">
          <reference field="4294967294" count="1" selected="0">
            <x v="0"/>
          </reference>
          <reference field="5" count="1" selected="0">
            <x v="11"/>
          </reference>
        </references>
      </pivotArea>
    </chartFormat>
    <chartFormat chart="4" format="13">
      <pivotArea type="data" outline="0" fieldPosition="0">
        <references count="2">
          <reference field="4294967294" count="1" selected="0">
            <x v="0"/>
          </reference>
          <reference field="5" count="1" selected="0">
            <x v="12"/>
          </reference>
        </references>
      </pivotArea>
    </chartFormat>
    <chartFormat chart="4" format="14">
      <pivotArea type="data" outline="0" fieldPosition="0">
        <references count="2">
          <reference field="4294967294" count="1" selected="0">
            <x v="0"/>
          </reference>
          <reference field="5" count="1" selected="0">
            <x v="13"/>
          </reference>
        </references>
      </pivotArea>
    </chartFormat>
    <chartFormat chart="4" format="15">
      <pivotArea type="data" outline="0" fieldPosition="0">
        <references count="2">
          <reference field="4294967294" count="1" selected="0">
            <x v="0"/>
          </reference>
          <reference field="5" count="1" selected="0">
            <x v="14"/>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2" format="5">
      <pivotArea type="data" outline="0" fieldPosition="0">
        <references count="2">
          <reference field="4294967294" count="1" selected="0">
            <x v="0"/>
          </reference>
          <reference field="5" count="1" selected="0">
            <x v="4"/>
          </reference>
        </references>
      </pivotArea>
    </chartFormat>
    <chartFormat chart="2" format="6">
      <pivotArea type="data" outline="0" fieldPosition="0">
        <references count="2">
          <reference field="4294967294" count="1" selected="0">
            <x v="0"/>
          </reference>
          <reference field="5" count="1" selected="0">
            <x v="5"/>
          </reference>
        </references>
      </pivotArea>
    </chartFormat>
    <chartFormat chart="2" format="7">
      <pivotArea type="data" outline="0" fieldPosition="0">
        <references count="2">
          <reference field="4294967294" count="1" selected="0">
            <x v="0"/>
          </reference>
          <reference field="5" count="1" selected="0">
            <x v="6"/>
          </reference>
        </references>
      </pivotArea>
    </chartFormat>
    <chartFormat chart="2" format="8">
      <pivotArea type="data" outline="0" fieldPosition="0">
        <references count="2">
          <reference field="4294967294" count="1" selected="0">
            <x v="0"/>
          </reference>
          <reference field="5" count="1" selected="0">
            <x v="7"/>
          </reference>
        </references>
      </pivotArea>
    </chartFormat>
    <chartFormat chart="2" format="9">
      <pivotArea type="data" outline="0" fieldPosition="0">
        <references count="2">
          <reference field="4294967294" count="1" selected="0">
            <x v="0"/>
          </reference>
          <reference field="5" count="1" selected="0">
            <x v="8"/>
          </reference>
        </references>
      </pivotArea>
    </chartFormat>
    <chartFormat chart="2" format="10">
      <pivotArea type="data" outline="0" fieldPosition="0">
        <references count="2">
          <reference field="4294967294" count="1" selected="0">
            <x v="0"/>
          </reference>
          <reference field="5" count="1" selected="0">
            <x v="9"/>
          </reference>
        </references>
      </pivotArea>
    </chartFormat>
    <chartFormat chart="2" format="11">
      <pivotArea type="data" outline="0" fieldPosition="0">
        <references count="2">
          <reference field="4294967294" count="1" selected="0">
            <x v="0"/>
          </reference>
          <reference field="5" count="1" selected="0">
            <x v="10"/>
          </reference>
        </references>
      </pivotArea>
    </chartFormat>
    <chartFormat chart="2" format="12">
      <pivotArea type="data" outline="0" fieldPosition="0">
        <references count="2">
          <reference field="4294967294" count="1" selected="0">
            <x v="0"/>
          </reference>
          <reference field="5" count="1" selected="0">
            <x v="11"/>
          </reference>
        </references>
      </pivotArea>
    </chartFormat>
    <chartFormat chart="2" format="13">
      <pivotArea type="data" outline="0" fieldPosition="0">
        <references count="2">
          <reference field="4294967294" count="1" selected="0">
            <x v="0"/>
          </reference>
          <reference field="5" count="1" selected="0">
            <x v="12"/>
          </reference>
        </references>
      </pivotArea>
    </chartFormat>
    <chartFormat chart="2" format="14">
      <pivotArea type="data" outline="0" fieldPosition="0">
        <references count="2">
          <reference field="4294967294" count="1" selected="0">
            <x v="0"/>
          </reference>
          <reference field="5" count="1" selected="0">
            <x v="13"/>
          </reference>
        </references>
      </pivotArea>
    </chartFormat>
    <chartFormat chart="2" format="15">
      <pivotArea type="data" outline="0" fieldPosition="0">
        <references count="2">
          <reference field="4294967294" count="1" selected="0">
            <x v="0"/>
          </reference>
          <reference field="5" count="1" selected="0">
            <x v="14"/>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5" count="1" selected="0">
            <x v="0"/>
          </reference>
        </references>
      </pivotArea>
    </chartFormat>
    <chartFormat chart="7" format="34">
      <pivotArea type="data" outline="0" fieldPosition="0">
        <references count="2">
          <reference field="4294967294" count="1" selected="0">
            <x v="0"/>
          </reference>
          <reference field="5" count="1" selected="0">
            <x v="1"/>
          </reference>
        </references>
      </pivotArea>
    </chartFormat>
    <chartFormat chart="7" format="35">
      <pivotArea type="data" outline="0" fieldPosition="0">
        <references count="2">
          <reference field="4294967294" count="1" selected="0">
            <x v="0"/>
          </reference>
          <reference field="5" count="1" selected="0">
            <x v="2"/>
          </reference>
        </references>
      </pivotArea>
    </chartFormat>
    <chartFormat chart="7" format="36">
      <pivotArea type="data" outline="0" fieldPosition="0">
        <references count="2">
          <reference field="4294967294" count="1" selected="0">
            <x v="0"/>
          </reference>
          <reference field="5" count="1" selected="0">
            <x v="3"/>
          </reference>
        </references>
      </pivotArea>
    </chartFormat>
    <chartFormat chart="7" format="37">
      <pivotArea type="data" outline="0" fieldPosition="0">
        <references count="2">
          <reference field="4294967294" count="1" selected="0">
            <x v="0"/>
          </reference>
          <reference field="5" count="1" selected="0">
            <x v="4"/>
          </reference>
        </references>
      </pivotArea>
    </chartFormat>
    <chartFormat chart="7" format="38">
      <pivotArea type="data" outline="0" fieldPosition="0">
        <references count="2">
          <reference field="4294967294" count="1" selected="0">
            <x v="0"/>
          </reference>
          <reference field="5" count="1" selected="0">
            <x v="5"/>
          </reference>
        </references>
      </pivotArea>
    </chartFormat>
    <chartFormat chart="7" format="39">
      <pivotArea type="data" outline="0" fieldPosition="0">
        <references count="2">
          <reference field="4294967294" count="1" selected="0">
            <x v="0"/>
          </reference>
          <reference field="5" count="1" selected="0">
            <x v="6"/>
          </reference>
        </references>
      </pivotArea>
    </chartFormat>
    <chartFormat chart="7" format="40">
      <pivotArea type="data" outline="0" fieldPosition="0">
        <references count="2">
          <reference field="4294967294" count="1" selected="0">
            <x v="0"/>
          </reference>
          <reference field="5" count="1" selected="0">
            <x v="7"/>
          </reference>
        </references>
      </pivotArea>
    </chartFormat>
    <chartFormat chart="7" format="41">
      <pivotArea type="data" outline="0" fieldPosition="0">
        <references count="2">
          <reference field="4294967294" count="1" selected="0">
            <x v="0"/>
          </reference>
          <reference field="5" count="1" selected="0">
            <x v="8"/>
          </reference>
        </references>
      </pivotArea>
    </chartFormat>
    <chartFormat chart="7" format="42">
      <pivotArea type="data" outline="0" fieldPosition="0">
        <references count="2">
          <reference field="4294967294" count="1" selected="0">
            <x v="0"/>
          </reference>
          <reference field="5" count="1" selected="0">
            <x v="9"/>
          </reference>
        </references>
      </pivotArea>
    </chartFormat>
    <chartFormat chart="7" format="43">
      <pivotArea type="data" outline="0" fieldPosition="0">
        <references count="2">
          <reference field="4294967294" count="1" selected="0">
            <x v="0"/>
          </reference>
          <reference field="5" count="1" selected="0">
            <x v="10"/>
          </reference>
        </references>
      </pivotArea>
    </chartFormat>
    <chartFormat chart="7" format="44">
      <pivotArea type="data" outline="0" fieldPosition="0">
        <references count="2">
          <reference field="4294967294" count="1" selected="0">
            <x v="0"/>
          </reference>
          <reference field="5" count="1" selected="0">
            <x v="11"/>
          </reference>
        </references>
      </pivotArea>
    </chartFormat>
    <chartFormat chart="7" format="45">
      <pivotArea type="data" outline="0" fieldPosition="0">
        <references count="2">
          <reference field="4294967294" count="1" selected="0">
            <x v="0"/>
          </reference>
          <reference field="5" count="1" selected="0">
            <x v="12"/>
          </reference>
        </references>
      </pivotArea>
    </chartFormat>
    <chartFormat chart="7" format="46">
      <pivotArea type="data" outline="0" fieldPosition="0">
        <references count="2">
          <reference field="4294967294" count="1" selected="0">
            <x v="0"/>
          </reference>
          <reference field="5" count="1" selected="0">
            <x v="13"/>
          </reference>
        </references>
      </pivotArea>
    </chartFormat>
    <chartFormat chart="7" format="47">
      <pivotArea type="data" outline="0" fieldPosition="0">
        <references count="2">
          <reference field="4294967294" count="1" selected="0">
            <x v="0"/>
          </reference>
          <reference field="5" count="1" selected="0">
            <x v="14"/>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7"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location ref="A38:A51" firstHeaderRow="1" firstDataRow="1" firstDataCol="1"/>
  <pivotFields count="13">
    <pivotField showAll="0">
      <items count="16">
        <item x="0"/>
        <item x="1"/>
        <item x="2"/>
        <item x="3"/>
        <item x="4"/>
        <item x="5"/>
        <item x="6"/>
        <item x="7"/>
        <item x="8"/>
        <item x="9"/>
        <item x="10"/>
        <item x="11"/>
        <item x="12"/>
        <item x="13"/>
        <item x="14"/>
        <item t="default"/>
      </items>
    </pivotField>
    <pivotField showAll="0">
      <items count="16">
        <item x="8"/>
        <item x="2"/>
        <item x="11"/>
        <item x="13"/>
        <item x="10"/>
        <item x="9"/>
        <item x="12"/>
        <item x="0"/>
        <item x="14"/>
        <item x="3"/>
        <item x="5"/>
        <item x="1"/>
        <item x="7"/>
        <item x="6"/>
        <item x="4"/>
        <item t="default"/>
      </items>
    </pivotField>
    <pivotField numFmtId="14" showAll="0"/>
    <pivotField numFmtId="14" showAll="0"/>
    <pivotField showAll="0">
      <items count="7">
        <item x="1"/>
        <item x="0"/>
        <item x="4"/>
        <item x="5"/>
        <item x="3"/>
        <item x="2"/>
        <item t="default"/>
      </items>
    </pivotField>
    <pivotField axis="axisRow" showAll="0">
      <items count="16">
        <item x="10"/>
        <item x="11"/>
        <item x="2"/>
        <item x="6"/>
        <item x="14"/>
        <item x="13"/>
        <item x="1"/>
        <item x="0"/>
        <item x="4"/>
        <item x="8"/>
        <item x="12"/>
        <item x="7"/>
        <item x="5"/>
        <item x="9"/>
        <item x="3"/>
        <item t="default"/>
      </items>
    </pivotField>
    <pivotField showAll="0"/>
    <pivotField showAll="0"/>
    <pivotField showAll="0"/>
    <pivotField showAll="0"/>
    <pivotField showAll="0">
      <items count="13">
        <item h="1" x="6"/>
        <item h="1" x="11"/>
        <item h="1" x="4"/>
        <item h="1" x="1"/>
        <item x="7"/>
        <item x="2"/>
        <item x="0"/>
        <item x="10"/>
        <item x="5"/>
        <item x="3"/>
        <item x="8"/>
        <item x="9"/>
        <item t="default"/>
      </items>
    </pivotField>
    <pivotField axis="axisRow" showAll="0">
      <items count="3">
        <item x="0"/>
        <item x="1"/>
        <item t="default"/>
      </items>
    </pivotField>
    <pivotField showAll="0">
      <items count="10">
        <item x="7"/>
        <item x="4"/>
        <item x="8"/>
        <item x="1"/>
        <item x="0"/>
        <item x="2"/>
        <item x="5"/>
        <item x="3"/>
        <item x="6"/>
        <item t="default"/>
      </items>
    </pivotField>
  </pivotFields>
  <rowFields count="2">
    <field x="11"/>
    <field x="5"/>
  </rowFields>
  <rowItems count="13">
    <i>
      <x/>
    </i>
    <i r="1">
      <x/>
    </i>
    <i r="1">
      <x v="2"/>
    </i>
    <i r="1">
      <x v="5"/>
    </i>
    <i r="1">
      <x v="7"/>
    </i>
    <i r="1">
      <x v="10"/>
    </i>
    <i r="1">
      <x v="11"/>
    </i>
    <i r="1">
      <x v="12"/>
    </i>
    <i r="1">
      <x v="13"/>
    </i>
    <i r="1">
      <x v="14"/>
    </i>
    <i>
      <x v="1"/>
    </i>
    <i r="1">
      <x v="9"/>
    </i>
    <i t="grand">
      <x/>
    </i>
  </rowItems>
  <colItems count="1">
    <i/>
  </colItem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chartFormat="6">
  <location ref="D25:E36" firstHeaderRow="1" firstDataRow="1" firstDataCol="1"/>
  <pivotFields count="13">
    <pivotField showAll="0">
      <items count="16">
        <item x="0"/>
        <item x="1"/>
        <item x="2"/>
        <item x="3"/>
        <item x="4"/>
        <item x="5"/>
        <item x="6"/>
        <item x="7"/>
        <item x="8"/>
        <item x="9"/>
        <item x="10"/>
        <item x="11"/>
        <item x="12"/>
        <item x="13"/>
        <item x="14"/>
        <item t="default"/>
      </items>
    </pivotField>
    <pivotField showAll="0">
      <items count="16">
        <item x="8"/>
        <item x="2"/>
        <item x="11"/>
        <item x="13"/>
        <item x="10"/>
        <item x="9"/>
        <item x="12"/>
        <item x="0"/>
        <item x="14"/>
        <item x="3"/>
        <item x="5"/>
        <item x="1"/>
        <item x="7"/>
        <item x="6"/>
        <item x="4"/>
        <item t="default"/>
      </items>
    </pivotField>
    <pivotField numFmtId="14" showAll="0"/>
    <pivotField numFmtId="14" showAll="0"/>
    <pivotField showAll="0">
      <items count="7">
        <item x="1"/>
        <item x="0"/>
        <item x="4"/>
        <item x="5"/>
        <item x="3"/>
        <item x="2"/>
        <item t="default"/>
      </items>
    </pivotField>
    <pivotField axis="axisRow" showAll="0">
      <items count="16">
        <item x="10"/>
        <item x="11"/>
        <item x="2"/>
        <item x="6"/>
        <item x="14"/>
        <item x="13"/>
        <item x="1"/>
        <item x="0"/>
        <item x="4"/>
        <item x="8"/>
        <item x="12"/>
        <item x="7"/>
        <item x="5"/>
        <item x="9"/>
        <item x="3"/>
        <item t="default"/>
      </items>
    </pivotField>
    <pivotField showAll="0"/>
    <pivotField showAll="0"/>
    <pivotField showAll="0"/>
    <pivotField showAll="0"/>
    <pivotField showAll="0">
      <items count="13">
        <item h="1" x="6"/>
        <item h="1" x="11"/>
        <item h="1" x="4"/>
        <item h="1" x="1"/>
        <item x="7"/>
        <item x="2"/>
        <item x="0"/>
        <item x="10"/>
        <item x="5"/>
        <item x="3"/>
        <item x="8"/>
        <item x="9"/>
        <item t="default"/>
      </items>
    </pivotField>
    <pivotField showAll="0"/>
    <pivotField dataField="1" showAll="0">
      <items count="10">
        <item x="7"/>
        <item x="4"/>
        <item x="8"/>
        <item x="1"/>
        <item x="0"/>
        <item x="2"/>
        <item x="5"/>
        <item x="3"/>
        <item x="6"/>
        <item t="default"/>
      </items>
    </pivotField>
  </pivotFields>
  <rowFields count="1">
    <field x="5"/>
  </rowFields>
  <rowItems count="11">
    <i>
      <x/>
    </i>
    <i>
      <x v="2"/>
    </i>
    <i>
      <x v="5"/>
    </i>
    <i>
      <x v="7"/>
    </i>
    <i>
      <x v="9"/>
    </i>
    <i>
      <x v="10"/>
    </i>
    <i>
      <x v="11"/>
    </i>
    <i>
      <x v="12"/>
    </i>
    <i>
      <x v="13"/>
    </i>
    <i>
      <x v="14"/>
    </i>
    <i t="grand">
      <x/>
    </i>
  </rowItems>
  <colItems count="1">
    <i/>
  </colItems>
  <dataFields count="1">
    <dataField name="Sum of Transportation cost" fld="12" baseField="0" baseItem="0"/>
  </dataFields>
  <chartFormats count="2">
    <chartFormat chart="5"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location ref="G22:H33" firstHeaderRow="1" firstDataRow="1" firstDataCol="1"/>
  <pivotFields count="13">
    <pivotField showAll="0">
      <items count="16">
        <item x="0"/>
        <item x="1"/>
        <item x="2"/>
        <item x="3"/>
        <item x="4"/>
        <item x="5"/>
        <item x="6"/>
        <item x="7"/>
        <item x="8"/>
        <item x="9"/>
        <item x="10"/>
        <item x="11"/>
        <item x="12"/>
        <item x="13"/>
        <item x="14"/>
        <item t="default"/>
      </items>
    </pivotField>
    <pivotField showAll="0">
      <items count="16">
        <item x="8"/>
        <item x="2"/>
        <item x="11"/>
        <item x="13"/>
        <item x="10"/>
        <item x="9"/>
        <item x="12"/>
        <item x="0"/>
        <item x="14"/>
        <item x="3"/>
        <item x="5"/>
        <item x="1"/>
        <item x="7"/>
        <item x="6"/>
        <item x="4"/>
        <item t="default"/>
      </items>
    </pivotField>
    <pivotField numFmtId="14" showAll="0"/>
    <pivotField numFmtId="14" showAll="0"/>
    <pivotField showAll="0">
      <items count="7">
        <item x="1"/>
        <item x="0"/>
        <item x="4"/>
        <item x="5"/>
        <item x="3"/>
        <item x="2"/>
        <item t="default"/>
      </items>
    </pivotField>
    <pivotField axis="axisRow" showAll="0">
      <items count="16">
        <item x="10"/>
        <item x="11"/>
        <item x="2"/>
        <item x="6"/>
        <item x="14"/>
        <item x="13"/>
        <item x="1"/>
        <item x="0"/>
        <item x="4"/>
        <item x="8"/>
        <item x="12"/>
        <item x="7"/>
        <item x="5"/>
        <item x="9"/>
        <item x="3"/>
        <item t="default"/>
      </items>
    </pivotField>
    <pivotField dataField="1" showAll="0"/>
    <pivotField showAll="0"/>
    <pivotField showAll="0"/>
    <pivotField showAll="0"/>
    <pivotField showAll="0">
      <items count="13">
        <item h="1" x="6"/>
        <item h="1" x="11"/>
        <item h="1" x="4"/>
        <item h="1" x="1"/>
        <item x="7"/>
        <item x="2"/>
        <item x="0"/>
        <item x="10"/>
        <item x="5"/>
        <item x="3"/>
        <item x="8"/>
        <item x="9"/>
        <item t="default"/>
      </items>
    </pivotField>
    <pivotField showAll="0"/>
    <pivotField showAll="0">
      <items count="10">
        <item x="7"/>
        <item x="4"/>
        <item x="8"/>
        <item x="1"/>
        <item x="0"/>
        <item x="2"/>
        <item x="5"/>
        <item x="3"/>
        <item x="6"/>
        <item t="default"/>
      </items>
    </pivotField>
  </pivotFields>
  <rowFields count="1">
    <field x="5"/>
  </rowFields>
  <rowItems count="11">
    <i>
      <x/>
    </i>
    <i>
      <x v="2"/>
    </i>
    <i>
      <x v="5"/>
    </i>
    <i>
      <x v="7"/>
    </i>
    <i>
      <x v="9"/>
    </i>
    <i>
      <x v="10"/>
    </i>
    <i>
      <x v="11"/>
    </i>
    <i>
      <x v="12"/>
    </i>
    <i>
      <x v="13"/>
    </i>
    <i>
      <x v="14"/>
    </i>
    <i t="grand">
      <x/>
    </i>
  </rowItems>
  <colItems count="1">
    <i/>
  </colItems>
  <dataFields count="1">
    <dataField name="Sum of Traveler age" fld="6" baseField="0" baseItem="0"/>
  </dataField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chartFormat="5">
  <location ref="A22:B33" firstHeaderRow="1" firstDataRow="1" firstDataCol="1"/>
  <pivotFields count="13">
    <pivotField showAll="0">
      <items count="16">
        <item x="0"/>
        <item x="1"/>
        <item x="2"/>
        <item x="3"/>
        <item x="4"/>
        <item x="5"/>
        <item x="6"/>
        <item x="7"/>
        <item x="8"/>
        <item x="9"/>
        <item x="10"/>
        <item x="11"/>
        <item x="12"/>
        <item x="13"/>
        <item x="14"/>
        <item t="default"/>
      </items>
    </pivotField>
    <pivotField showAll="0">
      <items count="16">
        <item x="8"/>
        <item x="2"/>
        <item x="11"/>
        <item x="13"/>
        <item x="10"/>
        <item x="9"/>
        <item x="12"/>
        <item x="0"/>
        <item x="14"/>
        <item x="3"/>
        <item x="5"/>
        <item x="1"/>
        <item x="7"/>
        <item x="6"/>
        <item x="4"/>
        <item t="default"/>
      </items>
    </pivotField>
    <pivotField numFmtId="14" showAll="0"/>
    <pivotField numFmtId="14" showAll="0"/>
    <pivotField showAll="0">
      <items count="7">
        <item x="1"/>
        <item x="0"/>
        <item x="4"/>
        <item x="5"/>
        <item x="3"/>
        <item x="2"/>
        <item t="default"/>
      </items>
    </pivotField>
    <pivotField axis="axisRow" showAll="0">
      <items count="16">
        <item x="10"/>
        <item x="11"/>
        <item x="2"/>
        <item x="6"/>
        <item x="14"/>
        <item x="13"/>
        <item x="1"/>
        <item x="0"/>
        <item x="4"/>
        <item x="8"/>
        <item x="12"/>
        <item x="7"/>
        <item x="5"/>
        <item x="9"/>
        <item x="3"/>
        <item t="default"/>
      </items>
    </pivotField>
    <pivotField showAll="0"/>
    <pivotField showAll="0"/>
    <pivotField showAll="0"/>
    <pivotField showAll="0"/>
    <pivotField dataField="1" showAll="0">
      <items count="13">
        <item h="1" x="6"/>
        <item h="1" x="11"/>
        <item h="1" x="4"/>
        <item h="1" x="1"/>
        <item x="7"/>
        <item x="2"/>
        <item x="0"/>
        <item x="10"/>
        <item x="5"/>
        <item x="3"/>
        <item x="8"/>
        <item x="9"/>
        <item t="default"/>
      </items>
    </pivotField>
    <pivotField showAll="0"/>
    <pivotField showAll="0">
      <items count="10">
        <item x="7"/>
        <item x="4"/>
        <item x="8"/>
        <item x="1"/>
        <item x="0"/>
        <item x="2"/>
        <item x="5"/>
        <item x="3"/>
        <item x="6"/>
        <item t="default"/>
      </items>
    </pivotField>
  </pivotFields>
  <rowFields count="1">
    <field x="5"/>
  </rowFields>
  <rowItems count="11">
    <i>
      <x/>
    </i>
    <i>
      <x v="2"/>
    </i>
    <i>
      <x v="5"/>
    </i>
    <i>
      <x v="7"/>
    </i>
    <i>
      <x v="9"/>
    </i>
    <i>
      <x v="10"/>
    </i>
    <i>
      <x v="11"/>
    </i>
    <i>
      <x v="12"/>
    </i>
    <i>
      <x v="13"/>
    </i>
    <i>
      <x v="14"/>
    </i>
    <i t="grand">
      <x/>
    </i>
  </rowItems>
  <colItems count="1">
    <i/>
  </colItems>
  <dataFields count="1">
    <dataField name="Sum of Accommodation cost" fld="10" baseField="0" baseItem="0"/>
  </dataFields>
  <chartFormats count="2">
    <chartFormat chart="4"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applyNumberFormats="0" applyBorderFormats="0" applyFontFormats="0" applyPatternFormats="0" applyAlignmentFormats="0" applyWidthHeightFormats="1" dataCaption="Values" updatedVersion="7" minRefreshableVersion="3" useAutoFormatting="1" createdVersion="6" indent="0" outline="1" outlineData="1" multipleFieldFilters="0">
  <location ref="A3:B14" firstHeaderRow="1" firstDataRow="1" firstDataCol="1"/>
  <pivotFields count="13">
    <pivotField dataField="1" showAll="0">
      <items count="16">
        <item x="0"/>
        <item x="1"/>
        <item x="2"/>
        <item x="3"/>
        <item x="4"/>
        <item x="5"/>
        <item x="6"/>
        <item x="7"/>
        <item x="8"/>
        <item x="9"/>
        <item x="10"/>
        <item x="11"/>
        <item x="12"/>
        <item x="13"/>
        <item x="14"/>
        <item t="default"/>
      </items>
    </pivotField>
    <pivotField axis="axisRow" showAll="0">
      <items count="16">
        <item x="8"/>
        <item x="2"/>
        <item x="11"/>
        <item x="13"/>
        <item x="10"/>
        <item x="9"/>
        <item x="12"/>
        <item x="0"/>
        <item x="14"/>
        <item x="3"/>
        <item x="5"/>
        <item x="1"/>
        <item x="7"/>
        <item x="6"/>
        <item x="4"/>
        <item t="default"/>
      </items>
    </pivotField>
    <pivotField numFmtId="14" showAll="0"/>
    <pivotField numFmtId="14" showAll="0"/>
    <pivotField showAll="0">
      <items count="7">
        <item x="1"/>
        <item x="0"/>
        <item x="4"/>
        <item x="5"/>
        <item x="3"/>
        <item x="2"/>
        <item t="default"/>
      </items>
    </pivotField>
    <pivotField showAll="0"/>
    <pivotField showAll="0"/>
    <pivotField showAll="0"/>
    <pivotField showAll="0"/>
    <pivotField showAll="0"/>
    <pivotField showAll="0">
      <items count="13">
        <item h="1" x="6"/>
        <item h="1" x="11"/>
        <item h="1" x="4"/>
        <item h="1" x="1"/>
        <item x="7"/>
        <item x="2"/>
        <item x="0"/>
        <item x="10"/>
        <item x="5"/>
        <item x="3"/>
        <item x="8"/>
        <item x="9"/>
        <item t="default"/>
      </items>
    </pivotField>
    <pivotField showAll="0">
      <items count="3">
        <item x="0"/>
        <item x="1"/>
        <item t="default"/>
      </items>
    </pivotField>
    <pivotField showAll="0">
      <items count="10">
        <item x="7"/>
        <item x="4"/>
        <item x="8"/>
        <item x="1"/>
        <item x="0"/>
        <item x="2"/>
        <item x="5"/>
        <item x="3"/>
        <item x="6"/>
        <item t="default"/>
      </items>
    </pivotField>
  </pivotFields>
  <rowFields count="1">
    <field x="1"/>
  </rowFields>
  <rowItems count="11">
    <i>
      <x/>
    </i>
    <i>
      <x v="1"/>
    </i>
    <i>
      <x v="3"/>
    </i>
    <i>
      <x v="4"/>
    </i>
    <i>
      <x v="5"/>
    </i>
    <i>
      <x v="6"/>
    </i>
    <i>
      <x v="7"/>
    </i>
    <i>
      <x v="9"/>
    </i>
    <i>
      <x v="10"/>
    </i>
    <i>
      <x v="12"/>
    </i>
    <i t="grand">
      <x/>
    </i>
  </rowItems>
  <colItems count="1">
    <i/>
  </colItems>
  <dataFields count="1">
    <dataField name="Sum of Trip ID" fld="0" baseField="0"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cost" xr10:uid="{00000000-0013-0000-FFFF-FFFF01000000}" sourceName="Transportation cost">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9">
        <i x="4" s="1"/>
        <i x="1" s="1"/>
        <i x="0" s="1"/>
        <i x="2" s="1"/>
        <i x="5" s="1"/>
        <i x="3" s="1"/>
        <i x="6" s="1"/>
        <i x="7"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type" xr10:uid="{00000000-0013-0000-FFFF-FFFF02000000}" sourceName="Transportation type">
  <pivotTables>
    <pivotTable tabId="2"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mmodation_cost" xr10:uid="{00000000-0013-0000-FFFF-FFFF03000000}" sourceName="Accommodation cost">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12">
        <i x="6"/>
        <i x="11"/>
        <i x="4"/>
        <i x="1"/>
        <i x="7" s="1"/>
        <i x="2" s="1"/>
        <i x="0" s="1"/>
        <i x="10" s="1"/>
        <i x="5" s="1"/>
        <i x="3"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_days" xr10:uid="{00000000-0013-0000-FFFF-FFFF04000000}" sourceName="Duration (days)">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6">
        <i x="1" s="1"/>
        <i x="0" s="1"/>
        <i x="4" s="1"/>
        <i x="5"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00000000-0013-0000-FFFF-FFFF05000000}" sourceName="Destination">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15">
        <i x="8" s="1"/>
        <i x="2" s="1"/>
        <i x="13" s="1"/>
        <i x="10" s="1"/>
        <i x="9" s="1"/>
        <i x="12" s="1"/>
        <i x="0" s="1"/>
        <i x="3" s="1"/>
        <i x="5" s="1"/>
        <i x="7" s="1"/>
        <i x="11" s="1" nd="1"/>
        <i x="14" s="1" nd="1"/>
        <i x="1" s="1" nd="1"/>
        <i x="6"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ip_ID" xr10:uid="{00000000-0013-0000-FFFF-FFFF06000000}" sourceName="Trip ID">
  <pivotTables>
    <pivotTable tabId="2" name="PivotTable1"/>
    <pivotTable tabId="2" name="PivotTable2"/>
    <pivotTable tabId="2" name="PivotTable3"/>
    <pivotTable tabId="2" name="PivotTable4"/>
    <pivotTable tabId="2" name="PivotTable5"/>
    <pivotTable tabId="2" name="PivotTable6"/>
    <pivotTable tabId="2" name="PivotTable7"/>
  </pivotTables>
  <data>
    <tabular pivotCacheId="1">
      <items count="15">
        <i x="0" s="1"/>
        <i x="2" s="1"/>
        <i x="3" s="1"/>
        <i x="5" s="1"/>
        <i x="7" s="1"/>
        <i x="8" s="1"/>
        <i x="9" s="1"/>
        <i x="10" s="1"/>
        <i x="12" s="1"/>
        <i x="13" s="1"/>
        <i x="1" s="1" nd="1"/>
        <i x="4" s="1" nd="1"/>
        <i x="6" s="1" nd="1"/>
        <i x="11"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ation cost" xr10:uid="{00000000-0014-0000-FFFF-FFFF06000000}" cache="Slicer_Transportation_cost" caption="Transportation cost" rowHeight="241300"/>
  <slicer name="Transportation type" xr10:uid="{00000000-0014-0000-FFFF-FFFF05000000}" cache="Slicer_Transportation_type" caption="Transportation type" rowHeight="241300"/>
  <slicer name="Accommodation cost" xr10:uid="{00000000-0014-0000-FFFF-FFFF04000000}" cache="Slicer_Accommodation_cost" caption="Accommodation cost" startItem="4" rowHeight="241300"/>
  <slicer name="Duration (days)" xr10:uid="{00000000-0014-0000-FFFF-FFFF03000000}" cache="Slicer_Duration__days" caption="Duration (days)" rowHeight="241300"/>
  <slicer name="Destination" xr10:uid="{00000000-0014-0000-FFFF-FFFF02000000}" cache="Slicer_Destination" caption="Destination" rowHeight="241300"/>
  <slicer name="Trip ID" xr10:uid="{00000000-0014-0000-FFFF-FFFF01000000}" cache="Slicer_Trip_ID" caption="Trip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ation cost 1" xr10:uid="{00000000-0014-0000-FFFF-FFFF0C000000}" cache="Slicer_Transportation_cost" caption="Transportation cost" style="SlicerStyleLight6" rowHeight="241300"/>
  <slicer name="Accommodation cost 1" xr10:uid="{00000000-0014-0000-FFFF-FFFF0A000000}" cache="Slicer_Accommodation_cost" caption="Accommodation cost" startItem="6" style="SlicerStyleDark5" rowHeight="241300"/>
  <slicer name="Duration (days) 1" xr10:uid="{00000000-0014-0000-FFFF-FFFF09000000}" cache="Slicer_Duration__days" caption="Duration (days)" style="SlicerStyleDark6" rowHeight="241300"/>
  <slicer name="Destination 1" xr10:uid="{00000000-0014-0000-FFFF-FFFF08000000}" cache="Slicer_Destination" caption="Destination" startItem="10" rowHeight="241300"/>
  <slicer name="Trip ID 1" xr10:uid="{389D8642-22C7-46A7-BF1B-699755BB3C3F}" cache="Slicer_Trip_ID" caption="Trip ID"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16" totalsRowShown="0">
  <autoFilter ref="A1:M16" xr:uid="{00000000-0009-0000-0100-000001000000}"/>
  <tableColumns count="13">
    <tableColumn id="1" xr3:uid="{00000000-0010-0000-0000-000001000000}" name="Trip ID"/>
    <tableColumn id="2" xr3:uid="{00000000-0010-0000-0000-000002000000}" name="Destination"/>
    <tableColumn id="3" xr3:uid="{00000000-0010-0000-0000-000003000000}" name="Start date" dataDxfId="1"/>
    <tableColumn id="4" xr3:uid="{00000000-0010-0000-0000-000004000000}" name="End date" dataDxfId="0"/>
    <tableColumn id="5" xr3:uid="{00000000-0010-0000-0000-000005000000}" name="Duration (days)"/>
    <tableColumn id="6" xr3:uid="{00000000-0010-0000-0000-000006000000}" name="Traveler name"/>
    <tableColumn id="7" xr3:uid="{00000000-0010-0000-0000-000007000000}" name="Traveler age"/>
    <tableColumn id="8" xr3:uid="{00000000-0010-0000-0000-000008000000}" name="Traveler gender"/>
    <tableColumn id="9" xr3:uid="{00000000-0010-0000-0000-000009000000}" name="Traveler nationality"/>
    <tableColumn id="10" xr3:uid="{00000000-0010-0000-0000-00000A000000}" name="Accommodation type"/>
    <tableColumn id="11" xr3:uid="{00000000-0010-0000-0000-00000B000000}" name="Accommodation cost"/>
    <tableColumn id="12" xr3:uid="{00000000-0010-0000-0000-00000C000000}" name="Transportation type"/>
    <tableColumn id="13" xr3:uid="{00000000-0010-0000-0000-00000D000000}" name="Transportation cost"/>
  </tableColumns>
  <tableStyleInfo name="TableStyleMedium3"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40"/>
  <sheetViews>
    <sheetView topLeftCell="D1" workbookViewId="0">
      <selection activeCell="M12" sqref="M12"/>
    </sheetView>
  </sheetViews>
  <sheetFormatPr defaultColWidth="10.28515625" defaultRowHeight="15"/>
  <cols>
    <col min="2" max="2" width="13.42578125" customWidth="1"/>
    <col min="3" max="3" width="11.7109375" customWidth="1"/>
    <col min="4" max="4" width="10.85546875" customWidth="1"/>
    <col min="5" max="5" width="16.7109375" customWidth="1"/>
    <col min="6" max="6" width="15.85546875" customWidth="1"/>
    <col min="7" max="7" width="14" customWidth="1"/>
    <col min="8" max="8" width="17.140625" customWidth="1"/>
    <col min="9" max="9" width="20.42578125" customWidth="1"/>
    <col min="10" max="10" width="22" customWidth="1"/>
    <col min="11" max="11" width="21.5703125" customWidth="1"/>
    <col min="12" max="12" width="20.5703125" customWidth="1"/>
    <col min="13" max="13" width="20.140625" customWidth="1"/>
  </cols>
  <sheetData>
    <row r="1" spans="1:13">
      <c r="A1" t="s">
        <v>42</v>
      </c>
      <c r="B1" t="s">
        <v>43</v>
      </c>
      <c r="C1" t="s">
        <v>44</v>
      </c>
      <c r="D1" t="s">
        <v>45</v>
      </c>
      <c r="E1" t="s">
        <v>46</v>
      </c>
      <c r="F1" t="s">
        <v>47</v>
      </c>
      <c r="G1" t="s">
        <v>48</v>
      </c>
      <c r="H1" t="s">
        <v>49</v>
      </c>
      <c r="I1" t="s">
        <v>50</v>
      </c>
      <c r="J1" t="s">
        <v>51</v>
      </c>
      <c r="K1" t="s">
        <v>52</v>
      </c>
      <c r="L1" t="s">
        <v>53</v>
      </c>
      <c r="M1" t="s">
        <v>54</v>
      </c>
    </row>
    <row r="2" spans="1:13">
      <c r="A2">
        <v>1</v>
      </c>
      <c r="B2" t="s">
        <v>17</v>
      </c>
      <c r="C2" s="1">
        <v>45047</v>
      </c>
      <c r="D2" s="1">
        <v>45054</v>
      </c>
      <c r="E2">
        <v>7</v>
      </c>
      <c r="F2" t="s">
        <v>18</v>
      </c>
      <c r="G2">
        <v>35</v>
      </c>
      <c r="H2" t="s">
        <v>55</v>
      </c>
      <c r="I2" t="s">
        <v>56</v>
      </c>
      <c r="J2" t="s">
        <v>57</v>
      </c>
      <c r="K2">
        <v>1200</v>
      </c>
      <c r="L2" t="s">
        <v>39</v>
      </c>
      <c r="M2">
        <v>600</v>
      </c>
    </row>
    <row r="3" spans="1:13">
      <c r="A3">
        <v>2</v>
      </c>
      <c r="B3" t="s">
        <v>25</v>
      </c>
      <c r="C3" s="1">
        <v>45092</v>
      </c>
      <c r="D3" s="1">
        <v>45097</v>
      </c>
      <c r="E3">
        <v>5</v>
      </c>
      <c r="F3" t="s">
        <v>16</v>
      </c>
      <c r="G3">
        <v>28</v>
      </c>
      <c r="H3" t="s">
        <v>58</v>
      </c>
      <c r="I3" t="s">
        <v>59</v>
      </c>
      <c r="J3" t="s">
        <v>60</v>
      </c>
      <c r="K3">
        <v>800</v>
      </c>
      <c r="L3" t="s">
        <v>39</v>
      </c>
      <c r="M3">
        <v>500</v>
      </c>
    </row>
    <row r="4" spans="1:13">
      <c r="A4">
        <v>3</v>
      </c>
      <c r="B4" t="s">
        <v>5</v>
      </c>
      <c r="C4" s="1">
        <v>45108</v>
      </c>
      <c r="D4" s="1">
        <v>45115</v>
      </c>
      <c r="E4">
        <v>7</v>
      </c>
      <c r="F4" t="s">
        <v>8</v>
      </c>
      <c r="G4">
        <v>45</v>
      </c>
      <c r="H4" t="s">
        <v>55</v>
      </c>
      <c r="I4" t="s">
        <v>61</v>
      </c>
      <c r="J4" t="s">
        <v>62</v>
      </c>
      <c r="K4">
        <v>1000</v>
      </c>
      <c r="L4" t="s">
        <v>39</v>
      </c>
      <c r="M4">
        <v>700</v>
      </c>
    </row>
    <row r="5" spans="1:13">
      <c r="A5">
        <v>4</v>
      </c>
      <c r="B5" t="s">
        <v>21</v>
      </c>
      <c r="C5" s="1">
        <v>45153</v>
      </c>
      <c r="D5" s="1">
        <v>45167</v>
      </c>
      <c r="E5">
        <v>14</v>
      </c>
      <c r="F5" t="s">
        <v>32</v>
      </c>
      <c r="G5">
        <v>29</v>
      </c>
      <c r="H5" t="s">
        <v>58</v>
      </c>
      <c r="I5" t="s">
        <v>63</v>
      </c>
      <c r="J5" t="s">
        <v>57</v>
      </c>
      <c r="K5">
        <v>2000</v>
      </c>
      <c r="L5" t="s">
        <v>39</v>
      </c>
      <c r="M5">
        <v>1000</v>
      </c>
    </row>
    <row r="6" spans="1:13">
      <c r="A6">
        <v>5</v>
      </c>
      <c r="B6" t="s">
        <v>31</v>
      </c>
      <c r="C6" s="1">
        <v>45179</v>
      </c>
      <c r="D6" s="1">
        <v>45186</v>
      </c>
      <c r="E6">
        <v>7</v>
      </c>
      <c r="F6" t="s">
        <v>20</v>
      </c>
      <c r="G6">
        <v>26</v>
      </c>
      <c r="H6" t="s">
        <v>58</v>
      </c>
      <c r="I6" t="s">
        <v>64</v>
      </c>
      <c r="J6" t="s">
        <v>65</v>
      </c>
      <c r="K6">
        <v>700</v>
      </c>
      <c r="L6" t="s">
        <v>41</v>
      </c>
      <c r="M6">
        <v>200</v>
      </c>
    </row>
    <row r="7" spans="1:13">
      <c r="A7">
        <v>6</v>
      </c>
      <c r="B7" t="s">
        <v>23</v>
      </c>
      <c r="C7" s="1">
        <v>45204</v>
      </c>
      <c r="D7" s="1">
        <v>45209</v>
      </c>
      <c r="E7">
        <v>5</v>
      </c>
      <c r="F7" t="s">
        <v>28</v>
      </c>
      <c r="G7">
        <v>42</v>
      </c>
      <c r="H7" t="s">
        <v>55</v>
      </c>
      <c r="I7" t="s">
        <v>56</v>
      </c>
      <c r="J7" t="s">
        <v>57</v>
      </c>
      <c r="K7">
        <v>1500</v>
      </c>
      <c r="L7" t="s">
        <v>39</v>
      </c>
      <c r="M7">
        <v>800</v>
      </c>
    </row>
    <row r="8" spans="1:13">
      <c r="A8">
        <v>7</v>
      </c>
      <c r="B8" t="s">
        <v>29</v>
      </c>
      <c r="C8" s="1">
        <v>45250</v>
      </c>
      <c r="D8" s="1">
        <v>45260</v>
      </c>
      <c r="E8">
        <v>10</v>
      </c>
      <c r="F8" t="s">
        <v>10</v>
      </c>
      <c r="G8">
        <v>33</v>
      </c>
      <c r="H8" t="s">
        <v>58</v>
      </c>
      <c r="I8" t="s">
        <v>66</v>
      </c>
      <c r="J8" t="s">
        <v>67</v>
      </c>
      <c r="K8">
        <v>500</v>
      </c>
      <c r="L8" t="s">
        <v>39</v>
      </c>
      <c r="M8">
        <v>1200</v>
      </c>
    </row>
    <row r="9" spans="1:13">
      <c r="A9">
        <v>8</v>
      </c>
      <c r="B9" t="s">
        <v>27</v>
      </c>
      <c r="C9" s="1">
        <v>45296</v>
      </c>
      <c r="D9" s="1">
        <v>45303</v>
      </c>
      <c r="E9">
        <v>7</v>
      </c>
      <c r="F9" t="s">
        <v>26</v>
      </c>
      <c r="G9">
        <v>25</v>
      </c>
      <c r="H9" t="s">
        <v>55</v>
      </c>
      <c r="I9" t="s">
        <v>68</v>
      </c>
      <c r="J9" t="s">
        <v>65</v>
      </c>
      <c r="K9">
        <v>900</v>
      </c>
      <c r="L9" t="s">
        <v>39</v>
      </c>
      <c r="M9">
        <v>600</v>
      </c>
    </row>
    <row r="10" spans="1:13">
      <c r="A10">
        <v>9</v>
      </c>
      <c r="B10" t="s">
        <v>3</v>
      </c>
      <c r="C10" s="1">
        <v>45336</v>
      </c>
      <c r="D10" s="1">
        <v>45343</v>
      </c>
      <c r="E10">
        <v>7</v>
      </c>
      <c r="F10" t="s">
        <v>22</v>
      </c>
      <c r="G10">
        <v>31</v>
      </c>
      <c r="H10" t="s">
        <v>58</v>
      </c>
      <c r="I10" t="s">
        <v>69</v>
      </c>
      <c r="J10" t="s">
        <v>57</v>
      </c>
      <c r="K10">
        <v>1200</v>
      </c>
      <c r="L10" t="s">
        <v>41</v>
      </c>
      <c r="M10">
        <v>200</v>
      </c>
    </row>
    <row r="11" spans="1:13">
      <c r="A11">
        <v>10</v>
      </c>
      <c r="B11" t="s">
        <v>13</v>
      </c>
      <c r="C11" s="1">
        <v>45361</v>
      </c>
      <c r="D11" s="1">
        <v>45368</v>
      </c>
      <c r="E11">
        <v>7</v>
      </c>
      <c r="F11" t="s">
        <v>30</v>
      </c>
      <c r="G11">
        <v>39</v>
      </c>
      <c r="H11" t="s">
        <v>55</v>
      </c>
      <c r="I11" t="s">
        <v>70</v>
      </c>
      <c r="J11" t="s">
        <v>60</v>
      </c>
      <c r="K11">
        <v>2500</v>
      </c>
      <c r="L11" t="s">
        <v>39</v>
      </c>
      <c r="M11">
        <v>800</v>
      </c>
    </row>
    <row r="12" spans="1:13">
      <c r="A12">
        <v>11</v>
      </c>
      <c r="B12" t="s">
        <v>11</v>
      </c>
      <c r="C12" s="1">
        <v>45383</v>
      </c>
      <c r="D12" s="1">
        <v>45390</v>
      </c>
      <c r="E12">
        <v>7</v>
      </c>
      <c r="F12" t="s">
        <v>4</v>
      </c>
      <c r="G12">
        <v>27</v>
      </c>
      <c r="H12" t="s">
        <v>58</v>
      </c>
      <c r="I12" t="s">
        <v>71</v>
      </c>
      <c r="J12" t="s">
        <v>57</v>
      </c>
      <c r="K12">
        <v>1000</v>
      </c>
      <c r="L12" t="s">
        <v>39</v>
      </c>
      <c r="M12">
        <v>500</v>
      </c>
    </row>
    <row r="13" spans="1:13">
      <c r="A13">
        <v>12</v>
      </c>
      <c r="B13" t="s">
        <v>7</v>
      </c>
      <c r="C13" s="1">
        <v>45427</v>
      </c>
      <c r="D13" s="1">
        <v>45434</v>
      </c>
      <c r="E13">
        <v>7</v>
      </c>
      <c r="F13" t="s">
        <v>6</v>
      </c>
      <c r="G13">
        <v>36</v>
      </c>
      <c r="H13" t="s">
        <v>55</v>
      </c>
      <c r="I13" t="s">
        <v>72</v>
      </c>
      <c r="J13" t="s">
        <v>65</v>
      </c>
      <c r="K13">
        <v>800</v>
      </c>
      <c r="L13" t="s">
        <v>41</v>
      </c>
      <c r="M13">
        <v>100</v>
      </c>
    </row>
    <row r="14" spans="1:13">
      <c r="A14">
        <v>13</v>
      </c>
      <c r="B14" t="s">
        <v>15</v>
      </c>
      <c r="C14" s="1">
        <v>45453</v>
      </c>
      <c r="D14" s="1">
        <v>45461</v>
      </c>
      <c r="E14">
        <v>8</v>
      </c>
      <c r="F14" t="s">
        <v>24</v>
      </c>
      <c r="G14">
        <v>29</v>
      </c>
      <c r="H14" t="s">
        <v>58</v>
      </c>
      <c r="I14" t="s">
        <v>73</v>
      </c>
      <c r="J14" t="s">
        <v>60</v>
      </c>
      <c r="K14">
        <v>3000</v>
      </c>
      <c r="L14" t="s">
        <v>39</v>
      </c>
      <c r="M14">
        <v>1200</v>
      </c>
    </row>
    <row r="15" spans="1:13">
      <c r="A15">
        <v>14</v>
      </c>
      <c r="B15" t="s">
        <v>9</v>
      </c>
      <c r="C15" s="1">
        <v>45474</v>
      </c>
      <c r="D15" s="1">
        <v>45483</v>
      </c>
      <c r="E15">
        <v>9</v>
      </c>
      <c r="F15" t="s">
        <v>14</v>
      </c>
      <c r="G15">
        <v>48</v>
      </c>
      <c r="H15" t="s">
        <v>55</v>
      </c>
      <c r="I15" t="s">
        <v>74</v>
      </c>
      <c r="J15" t="s">
        <v>57</v>
      </c>
      <c r="K15">
        <v>1400</v>
      </c>
      <c r="L15" t="s">
        <v>39</v>
      </c>
      <c r="M15">
        <v>700</v>
      </c>
    </row>
    <row r="16" spans="1:13">
      <c r="A16">
        <v>15</v>
      </c>
      <c r="B16" t="s">
        <v>19</v>
      </c>
      <c r="C16" s="1">
        <v>45524</v>
      </c>
      <c r="D16" s="1">
        <v>45531</v>
      </c>
      <c r="E16">
        <v>7</v>
      </c>
      <c r="F16" t="s">
        <v>12</v>
      </c>
      <c r="G16">
        <v>26</v>
      </c>
      <c r="H16" t="s">
        <v>58</v>
      </c>
      <c r="I16" t="s">
        <v>75</v>
      </c>
      <c r="J16" t="s">
        <v>76</v>
      </c>
      <c r="K16">
        <v>600</v>
      </c>
      <c r="L16" t="s">
        <v>39</v>
      </c>
      <c r="M16">
        <v>400</v>
      </c>
    </row>
    <row r="17" spans="1:13">
      <c r="A17">
        <v>16</v>
      </c>
      <c r="B17" t="s">
        <v>77</v>
      </c>
      <c r="C17" s="1">
        <v>45540</v>
      </c>
      <c r="D17" s="1">
        <v>45547</v>
      </c>
      <c r="E17">
        <v>7</v>
      </c>
      <c r="F17" t="s">
        <v>78</v>
      </c>
      <c r="G17">
        <v>32</v>
      </c>
      <c r="H17" t="s">
        <v>55</v>
      </c>
      <c r="I17" t="s">
        <v>79</v>
      </c>
      <c r="J17" t="s">
        <v>57</v>
      </c>
      <c r="K17">
        <v>900</v>
      </c>
      <c r="L17" t="s">
        <v>41</v>
      </c>
      <c r="M17">
        <v>150</v>
      </c>
    </row>
    <row r="18" spans="1:13">
      <c r="A18">
        <v>17</v>
      </c>
      <c r="B18" t="s">
        <v>80</v>
      </c>
      <c r="C18" s="1">
        <v>45170</v>
      </c>
      <c r="D18" s="1">
        <v>45179</v>
      </c>
      <c r="E18">
        <v>9</v>
      </c>
      <c r="F18" t="s">
        <v>32</v>
      </c>
      <c r="G18">
        <v>30</v>
      </c>
      <c r="H18" t="s">
        <v>58</v>
      </c>
      <c r="I18" t="s">
        <v>56</v>
      </c>
      <c r="J18" t="s">
        <v>57</v>
      </c>
      <c r="K18" s="2">
        <v>900</v>
      </c>
      <c r="L18" t="s">
        <v>81</v>
      </c>
      <c r="M18" s="2">
        <v>400</v>
      </c>
    </row>
    <row r="19" spans="1:13">
      <c r="A19">
        <v>18</v>
      </c>
      <c r="B19" t="s">
        <v>82</v>
      </c>
      <c r="C19" s="1">
        <v>45153</v>
      </c>
      <c r="D19" s="1">
        <v>45163</v>
      </c>
      <c r="E19">
        <v>10</v>
      </c>
      <c r="F19" t="s">
        <v>83</v>
      </c>
      <c r="G19">
        <v>28</v>
      </c>
      <c r="H19" t="s">
        <v>55</v>
      </c>
      <c r="I19" t="s">
        <v>73</v>
      </c>
      <c r="J19" t="s">
        <v>60</v>
      </c>
      <c r="K19" s="2">
        <v>1500</v>
      </c>
      <c r="L19" t="s">
        <v>81</v>
      </c>
      <c r="M19" s="2">
        <v>700</v>
      </c>
    </row>
    <row r="20" spans="1:13">
      <c r="A20">
        <v>19</v>
      </c>
      <c r="B20" t="s">
        <v>84</v>
      </c>
      <c r="C20" s="1">
        <v>45129</v>
      </c>
      <c r="D20" s="1">
        <v>45135</v>
      </c>
      <c r="E20">
        <v>6</v>
      </c>
      <c r="F20" t="s">
        <v>85</v>
      </c>
      <c r="G20">
        <v>35</v>
      </c>
      <c r="H20" t="s">
        <v>58</v>
      </c>
      <c r="I20" t="s">
        <v>63</v>
      </c>
      <c r="J20" t="s">
        <v>57</v>
      </c>
      <c r="K20" s="2">
        <v>1200</v>
      </c>
      <c r="L20" t="s">
        <v>41</v>
      </c>
      <c r="M20" s="2">
        <v>150</v>
      </c>
    </row>
    <row r="21" spans="1:13">
      <c r="A21">
        <v>20</v>
      </c>
      <c r="B21" t="s">
        <v>86</v>
      </c>
      <c r="C21" s="1">
        <v>45204</v>
      </c>
      <c r="D21" s="1">
        <v>45214</v>
      </c>
      <c r="E21">
        <v>10</v>
      </c>
      <c r="F21" t="s">
        <v>87</v>
      </c>
      <c r="G21">
        <v>45</v>
      </c>
      <c r="H21" t="s">
        <v>55</v>
      </c>
      <c r="I21" t="s">
        <v>88</v>
      </c>
      <c r="J21" t="s">
        <v>57</v>
      </c>
      <c r="K21" s="2">
        <v>1200</v>
      </c>
      <c r="L21" t="s">
        <v>81</v>
      </c>
      <c r="M21" s="2">
        <v>800</v>
      </c>
    </row>
    <row r="22" spans="1:13">
      <c r="A22">
        <v>21</v>
      </c>
      <c r="B22" t="s">
        <v>89</v>
      </c>
      <c r="C22" s="1">
        <v>45250</v>
      </c>
      <c r="D22" s="1">
        <v>45255</v>
      </c>
      <c r="E22">
        <v>5</v>
      </c>
      <c r="F22" t="s">
        <v>90</v>
      </c>
      <c r="G22">
        <v>27</v>
      </c>
      <c r="H22" t="s">
        <v>58</v>
      </c>
      <c r="I22" t="s">
        <v>56</v>
      </c>
      <c r="J22" t="s">
        <v>65</v>
      </c>
      <c r="K22" s="2">
        <v>600</v>
      </c>
      <c r="L22" t="s">
        <v>91</v>
      </c>
      <c r="M22" s="2">
        <v>100</v>
      </c>
    </row>
    <row r="23" spans="1:13">
      <c r="A23">
        <v>22</v>
      </c>
      <c r="B23" t="s">
        <v>92</v>
      </c>
      <c r="C23" s="1">
        <v>45265</v>
      </c>
      <c r="D23" s="1">
        <v>45272</v>
      </c>
      <c r="E23">
        <v>7</v>
      </c>
      <c r="F23" t="s">
        <v>93</v>
      </c>
      <c r="G23">
        <v>32</v>
      </c>
      <c r="H23" t="s">
        <v>55</v>
      </c>
      <c r="I23" t="s">
        <v>66</v>
      </c>
      <c r="J23" t="s">
        <v>57</v>
      </c>
      <c r="K23" s="2">
        <v>1000</v>
      </c>
      <c r="L23" t="s">
        <v>81</v>
      </c>
      <c r="M23" s="2">
        <v>600</v>
      </c>
    </row>
    <row r="24" spans="1:13">
      <c r="A24">
        <v>23</v>
      </c>
      <c r="B24" t="s">
        <v>94</v>
      </c>
      <c r="C24" s="1">
        <v>45231</v>
      </c>
      <c r="D24" s="1">
        <v>45238</v>
      </c>
      <c r="E24">
        <v>7</v>
      </c>
      <c r="F24" t="s">
        <v>95</v>
      </c>
      <c r="G24">
        <v>29</v>
      </c>
      <c r="H24" t="s">
        <v>58</v>
      </c>
      <c r="I24" t="s">
        <v>96</v>
      </c>
      <c r="J24" t="s">
        <v>65</v>
      </c>
      <c r="K24" s="2">
        <v>700</v>
      </c>
      <c r="L24" t="s">
        <v>41</v>
      </c>
      <c r="M24" s="2">
        <v>80</v>
      </c>
    </row>
    <row r="25" spans="1:13">
      <c r="A25">
        <v>24</v>
      </c>
      <c r="B25" t="s">
        <v>97</v>
      </c>
      <c r="C25" s="1">
        <v>45184</v>
      </c>
      <c r="D25" s="1">
        <v>45192</v>
      </c>
      <c r="E25">
        <v>8</v>
      </c>
      <c r="F25" t="s">
        <v>98</v>
      </c>
      <c r="G25">
        <v>40</v>
      </c>
      <c r="H25" t="s">
        <v>55</v>
      </c>
      <c r="I25" t="s">
        <v>99</v>
      </c>
      <c r="J25" t="s">
        <v>67</v>
      </c>
      <c r="K25" s="2">
        <v>400</v>
      </c>
      <c r="L25" t="s">
        <v>81</v>
      </c>
      <c r="M25" s="2">
        <v>500</v>
      </c>
    </row>
    <row r="26" spans="1:13">
      <c r="A26">
        <v>25</v>
      </c>
      <c r="B26" t="s">
        <v>80</v>
      </c>
      <c r="C26" s="1">
        <v>45282</v>
      </c>
      <c r="D26" s="1">
        <v>45288</v>
      </c>
      <c r="E26">
        <v>6</v>
      </c>
      <c r="F26" t="s">
        <v>100</v>
      </c>
      <c r="G26">
        <v>24</v>
      </c>
      <c r="H26" t="s">
        <v>58</v>
      </c>
      <c r="I26" t="s">
        <v>64</v>
      </c>
      <c r="J26" t="s">
        <v>57</v>
      </c>
      <c r="K26" s="2">
        <v>1400</v>
      </c>
      <c r="L26" t="s">
        <v>41</v>
      </c>
      <c r="M26" s="2">
        <v>100</v>
      </c>
    </row>
    <row r="27" spans="1:13">
      <c r="A27">
        <v>26</v>
      </c>
      <c r="B27" t="s">
        <v>101</v>
      </c>
      <c r="C27" s="1">
        <v>45139</v>
      </c>
      <c r="D27" s="1">
        <v>45148</v>
      </c>
      <c r="E27">
        <v>9</v>
      </c>
      <c r="F27" t="s">
        <v>102</v>
      </c>
      <c r="G27">
        <v>34</v>
      </c>
      <c r="H27" t="s">
        <v>55</v>
      </c>
      <c r="I27" t="s">
        <v>61</v>
      </c>
      <c r="J27" t="s">
        <v>60</v>
      </c>
      <c r="K27" s="2">
        <v>2000</v>
      </c>
      <c r="L27" t="s">
        <v>81</v>
      </c>
      <c r="M27" s="2">
        <v>800</v>
      </c>
    </row>
    <row r="28" spans="1:13">
      <c r="A28">
        <v>27</v>
      </c>
      <c r="B28" t="s">
        <v>103</v>
      </c>
      <c r="C28" s="1">
        <v>45219</v>
      </c>
      <c r="D28" s="1">
        <v>45227</v>
      </c>
      <c r="E28">
        <v>8</v>
      </c>
      <c r="F28" t="s">
        <v>104</v>
      </c>
      <c r="G28">
        <v>31</v>
      </c>
      <c r="H28" t="s">
        <v>58</v>
      </c>
      <c r="I28" t="s">
        <v>72</v>
      </c>
      <c r="J28" t="s">
        <v>57</v>
      </c>
      <c r="K28" s="2">
        <v>1100</v>
      </c>
      <c r="L28" t="s">
        <v>41</v>
      </c>
      <c r="M28" s="2">
        <v>150</v>
      </c>
    </row>
    <row r="29" spans="1:13">
      <c r="A29">
        <v>28</v>
      </c>
      <c r="B29" t="s">
        <v>105</v>
      </c>
      <c r="C29" s="1">
        <v>44691</v>
      </c>
      <c r="D29" s="1">
        <v>44699</v>
      </c>
      <c r="E29">
        <v>8</v>
      </c>
      <c r="F29" t="s">
        <v>106</v>
      </c>
      <c r="G29">
        <v>30</v>
      </c>
      <c r="H29" t="s">
        <v>58</v>
      </c>
      <c r="I29" t="s">
        <v>56</v>
      </c>
      <c r="J29" t="s">
        <v>57</v>
      </c>
      <c r="K29" s="2">
        <v>800</v>
      </c>
      <c r="L29" t="s">
        <v>81</v>
      </c>
      <c r="M29" s="2">
        <v>500</v>
      </c>
    </row>
    <row r="30" spans="1:13">
      <c r="A30">
        <v>29</v>
      </c>
      <c r="B30" t="s">
        <v>107</v>
      </c>
      <c r="C30" s="1">
        <v>44727</v>
      </c>
      <c r="D30" s="1">
        <v>44734</v>
      </c>
      <c r="E30">
        <v>7</v>
      </c>
      <c r="F30" t="s">
        <v>108</v>
      </c>
      <c r="G30">
        <v>45</v>
      </c>
      <c r="H30" t="s">
        <v>55</v>
      </c>
      <c r="I30" t="s">
        <v>59</v>
      </c>
      <c r="J30" t="s">
        <v>67</v>
      </c>
      <c r="K30" s="2">
        <v>200</v>
      </c>
      <c r="L30" t="s">
        <v>41</v>
      </c>
      <c r="M30" s="2">
        <v>150</v>
      </c>
    </row>
    <row r="31" spans="1:13">
      <c r="A31">
        <v>30</v>
      </c>
      <c r="B31" t="s">
        <v>109</v>
      </c>
      <c r="C31" s="1">
        <v>44744</v>
      </c>
      <c r="D31" s="1">
        <v>44753</v>
      </c>
      <c r="E31">
        <v>9</v>
      </c>
      <c r="F31" t="s">
        <v>110</v>
      </c>
      <c r="G31">
        <v>25</v>
      </c>
      <c r="H31" t="s">
        <v>55</v>
      </c>
      <c r="I31" t="s">
        <v>61</v>
      </c>
      <c r="J31" t="s">
        <v>65</v>
      </c>
      <c r="K31" s="2">
        <v>600</v>
      </c>
      <c r="L31" t="s">
        <v>111</v>
      </c>
      <c r="M31" s="2">
        <v>300</v>
      </c>
    </row>
    <row r="32" spans="1:13">
      <c r="A32">
        <v>31</v>
      </c>
      <c r="B32" t="s">
        <v>112</v>
      </c>
      <c r="C32" s="1">
        <v>44793</v>
      </c>
      <c r="D32" s="1">
        <v>44806</v>
      </c>
      <c r="E32">
        <v>13</v>
      </c>
      <c r="F32" t="s">
        <v>113</v>
      </c>
      <c r="G32">
        <v>28</v>
      </c>
      <c r="H32" t="s">
        <v>58</v>
      </c>
      <c r="I32" t="s">
        <v>63</v>
      </c>
      <c r="J32" t="s">
        <v>57</v>
      </c>
      <c r="K32" s="2">
        <v>1000</v>
      </c>
      <c r="L32" t="s">
        <v>111</v>
      </c>
      <c r="M32" s="2">
        <v>500</v>
      </c>
    </row>
    <row r="33" spans="1:13">
      <c r="A33">
        <v>32</v>
      </c>
      <c r="B33" t="s">
        <v>114</v>
      </c>
      <c r="C33" s="1">
        <v>44809</v>
      </c>
      <c r="D33" s="1">
        <v>44818</v>
      </c>
      <c r="E33">
        <v>9</v>
      </c>
      <c r="F33" t="s">
        <v>115</v>
      </c>
      <c r="G33">
        <v>33</v>
      </c>
      <c r="H33" t="s">
        <v>58</v>
      </c>
      <c r="I33" t="s">
        <v>66</v>
      </c>
      <c r="J33" t="s">
        <v>67</v>
      </c>
      <c r="K33" s="2">
        <v>150</v>
      </c>
      <c r="L33" t="s">
        <v>91</v>
      </c>
      <c r="M33" s="2">
        <v>50</v>
      </c>
    </row>
    <row r="34" spans="1:13">
      <c r="A34">
        <v>33</v>
      </c>
      <c r="B34" t="s">
        <v>116</v>
      </c>
      <c r="C34" s="1">
        <v>44846</v>
      </c>
      <c r="D34" s="1">
        <v>44854</v>
      </c>
      <c r="E34">
        <v>8</v>
      </c>
      <c r="F34" t="s">
        <v>117</v>
      </c>
      <c r="G34">
        <v>20</v>
      </c>
      <c r="H34" t="s">
        <v>55</v>
      </c>
      <c r="I34" t="s">
        <v>56</v>
      </c>
      <c r="J34" t="s">
        <v>65</v>
      </c>
      <c r="K34" s="2">
        <v>400</v>
      </c>
      <c r="L34" t="s">
        <v>81</v>
      </c>
      <c r="M34" s="2">
        <v>600</v>
      </c>
    </row>
    <row r="35" spans="1:13">
      <c r="A35">
        <v>34</v>
      </c>
      <c r="B35" t="s">
        <v>118</v>
      </c>
      <c r="C35" s="1">
        <v>44873</v>
      </c>
      <c r="D35" s="1">
        <v>44880</v>
      </c>
      <c r="E35">
        <v>7</v>
      </c>
      <c r="F35" t="s">
        <v>119</v>
      </c>
      <c r="G35">
        <v>37</v>
      </c>
      <c r="H35" t="s">
        <v>58</v>
      </c>
      <c r="I35" t="s">
        <v>59</v>
      </c>
      <c r="J35" t="s">
        <v>57</v>
      </c>
      <c r="K35" s="2">
        <v>700</v>
      </c>
      <c r="L35" t="s">
        <v>41</v>
      </c>
      <c r="M35" s="2">
        <v>100</v>
      </c>
    </row>
    <row r="36" spans="1:13">
      <c r="A36">
        <v>35</v>
      </c>
      <c r="B36" t="s">
        <v>120</v>
      </c>
      <c r="C36" s="1">
        <v>44931</v>
      </c>
      <c r="D36" s="1">
        <v>44941</v>
      </c>
      <c r="E36">
        <v>10</v>
      </c>
      <c r="F36" t="s">
        <v>121</v>
      </c>
      <c r="G36">
        <v>42</v>
      </c>
      <c r="H36" t="s">
        <v>55</v>
      </c>
      <c r="I36" t="s">
        <v>63</v>
      </c>
      <c r="J36" t="s">
        <v>65</v>
      </c>
      <c r="K36" s="2">
        <v>500</v>
      </c>
      <c r="L36" t="s">
        <v>81</v>
      </c>
      <c r="M36" s="2">
        <v>800</v>
      </c>
    </row>
    <row r="37" spans="1:13">
      <c r="A37">
        <v>36</v>
      </c>
      <c r="B37" t="s">
        <v>122</v>
      </c>
      <c r="C37" s="1">
        <v>44971</v>
      </c>
      <c r="D37" s="1">
        <v>44977</v>
      </c>
      <c r="E37">
        <v>6</v>
      </c>
      <c r="F37" t="s">
        <v>123</v>
      </c>
      <c r="G37">
        <v>31</v>
      </c>
      <c r="H37" t="s">
        <v>58</v>
      </c>
      <c r="I37" t="s">
        <v>56</v>
      </c>
      <c r="J37" t="s">
        <v>67</v>
      </c>
      <c r="K37" s="2">
        <v>180</v>
      </c>
      <c r="L37" t="s">
        <v>41</v>
      </c>
      <c r="M37" s="2">
        <v>120</v>
      </c>
    </row>
    <row r="38" spans="1:13">
      <c r="A38">
        <v>37</v>
      </c>
      <c r="B38" t="s">
        <v>124</v>
      </c>
      <c r="C38" s="1">
        <v>45008</v>
      </c>
      <c r="D38" s="1">
        <v>45016</v>
      </c>
      <c r="E38">
        <v>8</v>
      </c>
      <c r="F38" t="s">
        <v>125</v>
      </c>
      <c r="G38">
        <v>27</v>
      </c>
      <c r="H38" t="s">
        <v>55</v>
      </c>
      <c r="I38" t="s">
        <v>61</v>
      </c>
      <c r="J38" t="s">
        <v>57</v>
      </c>
      <c r="K38" s="2">
        <v>900</v>
      </c>
      <c r="L38" t="s">
        <v>111</v>
      </c>
      <c r="M38" s="2">
        <v>400</v>
      </c>
    </row>
    <row r="39" spans="1:13">
      <c r="A39">
        <v>38</v>
      </c>
      <c r="B39" t="s">
        <v>126</v>
      </c>
      <c r="C39" s="1">
        <v>45035</v>
      </c>
      <c r="D39" s="1">
        <v>45042</v>
      </c>
      <c r="E39">
        <v>7</v>
      </c>
      <c r="F39" t="s">
        <v>127</v>
      </c>
      <c r="G39">
        <v>38</v>
      </c>
      <c r="H39" t="s">
        <v>58</v>
      </c>
      <c r="I39" t="s">
        <v>66</v>
      </c>
      <c r="J39" t="s">
        <v>65</v>
      </c>
      <c r="K39" s="2">
        <v>350</v>
      </c>
      <c r="L39" t="s">
        <v>91</v>
      </c>
      <c r="M39" s="2">
        <v>75</v>
      </c>
    </row>
    <row r="40" spans="1:13">
      <c r="A40">
        <v>39</v>
      </c>
      <c r="B40" t="s">
        <v>23</v>
      </c>
      <c r="C40" s="1">
        <v>44724</v>
      </c>
      <c r="D40" s="1">
        <v>44731</v>
      </c>
      <c r="E40">
        <v>7</v>
      </c>
      <c r="F40" t="s">
        <v>123</v>
      </c>
      <c r="G40">
        <v>25</v>
      </c>
      <c r="H40" t="s">
        <v>58</v>
      </c>
      <c r="I40" t="s">
        <v>56</v>
      </c>
      <c r="J40" t="s">
        <v>57</v>
      </c>
      <c r="K40">
        <v>1400</v>
      </c>
      <c r="L40" t="s">
        <v>81</v>
      </c>
      <c r="M40">
        <v>600</v>
      </c>
    </row>
    <row r="41" spans="1:13">
      <c r="A41">
        <v>40</v>
      </c>
      <c r="B41" t="s">
        <v>29</v>
      </c>
      <c r="C41" s="1">
        <v>44928</v>
      </c>
      <c r="D41" s="1">
        <v>44935</v>
      </c>
      <c r="E41">
        <v>7</v>
      </c>
      <c r="F41" t="s">
        <v>128</v>
      </c>
      <c r="G41">
        <v>33</v>
      </c>
      <c r="H41" t="s">
        <v>55</v>
      </c>
      <c r="I41" t="s">
        <v>59</v>
      </c>
      <c r="J41" t="s">
        <v>65</v>
      </c>
      <c r="K41">
        <v>800</v>
      </c>
      <c r="L41" t="s">
        <v>41</v>
      </c>
      <c r="M41">
        <v>150</v>
      </c>
    </row>
    <row r="42" spans="1:13">
      <c r="A42">
        <v>41</v>
      </c>
      <c r="B42" t="s">
        <v>31</v>
      </c>
      <c r="C42" s="1">
        <v>44905</v>
      </c>
      <c r="D42" s="1">
        <v>44913</v>
      </c>
      <c r="E42">
        <v>8</v>
      </c>
      <c r="F42" t="s">
        <v>129</v>
      </c>
      <c r="G42">
        <v>28</v>
      </c>
      <c r="H42" t="s">
        <v>58</v>
      </c>
      <c r="I42" t="s">
        <v>73</v>
      </c>
      <c r="J42" t="s">
        <v>67</v>
      </c>
      <c r="K42">
        <v>500</v>
      </c>
      <c r="L42" t="s">
        <v>81</v>
      </c>
      <c r="M42">
        <v>900</v>
      </c>
    </row>
    <row r="43" spans="1:13">
      <c r="A43">
        <v>42</v>
      </c>
      <c r="B43" t="s">
        <v>11</v>
      </c>
      <c r="C43" s="1">
        <v>45108</v>
      </c>
      <c r="D43" s="1">
        <v>45115</v>
      </c>
      <c r="E43">
        <v>7</v>
      </c>
      <c r="F43" t="s">
        <v>18</v>
      </c>
      <c r="G43">
        <v>45</v>
      </c>
      <c r="H43" t="s">
        <v>55</v>
      </c>
      <c r="I43" t="s">
        <v>56</v>
      </c>
      <c r="J43" t="s">
        <v>60</v>
      </c>
      <c r="K43">
        <v>2200</v>
      </c>
      <c r="L43" t="s">
        <v>81</v>
      </c>
      <c r="M43">
        <v>800</v>
      </c>
    </row>
    <row r="44" spans="1:13">
      <c r="A44">
        <v>43</v>
      </c>
      <c r="B44" t="s">
        <v>27</v>
      </c>
      <c r="C44" s="1">
        <v>44885</v>
      </c>
      <c r="D44" s="1">
        <v>44892</v>
      </c>
      <c r="E44">
        <v>7</v>
      </c>
      <c r="F44" t="s">
        <v>130</v>
      </c>
      <c r="G44">
        <v>30</v>
      </c>
      <c r="H44" t="s">
        <v>58</v>
      </c>
      <c r="I44" t="s">
        <v>68</v>
      </c>
      <c r="J44" t="s">
        <v>57</v>
      </c>
      <c r="K44">
        <v>1200</v>
      </c>
      <c r="L44" t="s">
        <v>81</v>
      </c>
      <c r="M44">
        <v>700</v>
      </c>
    </row>
    <row r="45" spans="1:13">
      <c r="A45">
        <v>44</v>
      </c>
      <c r="B45" t="s">
        <v>17</v>
      </c>
      <c r="C45" s="1">
        <v>44990</v>
      </c>
      <c r="D45" s="1">
        <v>44997</v>
      </c>
      <c r="E45">
        <v>7</v>
      </c>
      <c r="F45" t="s">
        <v>131</v>
      </c>
      <c r="G45">
        <v>55</v>
      </c>
      <c r="H45" t="s">
        <v>55</v>
      </c>
      <c r="I45" t="s">
        <v>63</v>
      </c>
      <c r="J45" t="s">
        <v>65</v>
      </c>
      <c r="K45">
        <v>900</v>
      </c>
      <c r="L45" t="s">
        <v>41</v>
      </c>
      <c r="M45">
        <v>100</v>
      </c>
    </row>
    <row r="46" spans="1:13">
      <c r="A46">
        <v>45</v>
      </c>
      <c r="B46" t="s">
        <v>7</v>
      </c>
      <c r="C46" s="1">
        <v>45156</v>
      </c>
      <c r="D46" s="1">
        <v>45163</v>
      </c>
      <c r="E46">
        <v>7</v>
      </c>
      <c r="F46" t="s">
        <v>132</v>
      </c>
      <c r="G46">
        <v>27</v>
      </c>
      <c r="H46" t="s">
        <v>58</v>
      </c>
      <c r="I46" t="s">
        <v>72</v>
      </c>
      <c r="J46" t="s">
        <v>67</v>
      </c>
      <c r="K46">
        <v>600</v>
      </c>
      <c r="L46" t="s">
        <v>81</v>
      </c>
      <c r="M46">
        <v>600</v>
      </c>
    </row>
    <row r="47" spans="1:13">
      <c r="A47">
        <v>46</v>
      </c>
      <c r="B47" t="s">
        <v>133</v>
      </c>
      <c r="C47" s="1">
        <v>44819</v>
      </c>
      <c r="D47" s="1">
        <v>44826</v>
      </c>
      <c r="E47">
        <v>7</v>
      </c>
      <c r="F47" t="s">
        <v>134</v>
      </c>
      <c r="G47">
        <v>41</v>
      </c>
      <c r="H47" t="s">
        <v>55</v>
      </c>
      <c r="I47" t="s">
        <v>56</v>
      </c>
      <c r="J47" t="s">
        <v>57</v>
      </c>
      <c r="K47">
        <v>1500</v>
      </c>
      <c r="L47" t="s">
        <v>81</v>
      </c>
      <c r="M47">
        <v>500</v>
      </c>
    </row>
    <row r="48" spans="1:13">
      <c r="A48">
        <v>47</v>
      </c>
      <c r="B48" t="s">
        <v>135</v>
      </c>
      <c r="C48" s="1">
        <v>45047</v>
      </c>
      <c r="D48" s="1">
        <v>45053</v>
      </c>
      <c r="E48">
        <v>6</v>
      </c>
      <c r="F48" t="s">
        <v>136</v>
      </c>
      <c r="G48">
        <v>29</v>
      </c>
      <c r="H48" t="s">
        <v>58</v>
      </c>
      <c r="I48" t="s">
        <v>99</v>
      </c>
      <c r="J48" t="s">
        <v>65</v>
      </c>
      <c r="K48">
        <v>500</v>
      </c>
      <c r="L48" t="s">
        <v>91</v>
      </c>
      <c r="M48">
        <v>50</v>
      </c>
    </row>
    <row r="49" spans="1:13">
      <c r="A49">
        <v>48</v>
      </c>
      <c r="B49" t="s">
        <v>137</v>
      </c>
      <c r="C49" s="1">
        <v>44752</v>
      </c>
      <c r="D49" s="1">
        <v>44759</v>
      </c>
      <c r="E49">
        <v>7</v>
      </c>
      <c r="F49" t="s">
        <v>138</v>
      </c>
      <c r="G49">
        <v>24</v>
      </c>
      <c r="H49" t="s">
        <v>55</v>
      </c>
      <c r="I49" t="s">
        <v>61</v>
      </c>
      <c r="J49" t="s">
        <v>67</v>
      </c>
      <c r="K49">
        <v>400</v>
      </c>
      <c r="L49" t="s">
        <v>41</v>
      </c>
      <c r="M49">
        <v>150</v>
      </c>
    </row>
    <row r="50" spans="1:13">
      <c r="A50">
        <v>49</v>
      </c>
      <c r="B50" t="s">
        <v>3</v>
      </c>
      <c r="C50" s="1">
        <v>45097</v>
      </c>
      <c r="D50" s="1">
        <v>45105</v>
      </c>
      <c r="E50">
        <v>8</v>
      </c>
      <c r="F50" t="s">
        <v>139</v>
      </c>
      <c r="G50">
        <v>31</v>
      </c>
      <c r="H50" t="s">
        <v>58</v>
      </c>
      <c r="I50" t="s">
        <v>69</v>
      </c>
      <c r="J50" t="s">
        <v>57</v>
      </c>
      <c r="K50">
        <v>1100</v>
      </c>
      <c r="L50" t="s">
        <v>81</v>
      </c>
      <c r="M50">
        <v>700</v>
      </c>
    </row>
    <row r="51" spans="1:13">
      <c r="A51">
        <v>50</v>
      </c>
      <c r="B51" t="s">
        <v>23</v>
      </c>
      <c r="C51" s="1">
        <v>45153</v>
      </c>
      <c r="D51" s="1">
        <v>45160</v>
      </c>
      <c r="E51">
        <v>7</v>
      </c>
      <c r="F51" t="s">
        <v>140</v>
      </c>
      <c r="G51">
        <v>31</v>
      </c>
      <c r="H51" t="s">
        <v>58</v>
      </c>
      <c r="I51" t="s">
        <v>59</v>
      </c>
      <c r="J51" t="s">
        <v>57</v>
      </c>
      <c r="K51" s="2">
        <v>1200</v>
      </c>
      <c r="L51" t="s">
        <v>41</v>
      </c>
      <c r="M51" s="2">
        <v>300</v>
      </c>
    </row>
    <row r="52" spans="1:13">
      <c r="A52">
        <v>51</v>
      </c>
      <c r="B52" t="s">
        <v>31</v>
      </c>
      <c r="C52" s="1">
        <v>45209</v>
      </c>
      <c r="D52" s="1">
        <v>45219</v>
      </c>
      <c r="E52">
        <v>10</v>
      </c>
      <c r="F52" t="s">
        <v>102</v>
      </c>
      <c r="G52">
        <v>25</v>
      </c>
      <c r="H52" t="s">
        <v>55</v>
      </c>
      <c r="I52" t="s">
        <v>56</v>
      </c>
      <c r="J52" t="s">
        <v>67</v>
      </c>
      <c r="K52" s="2">
        <v>500</v>
      </c>
      <c r="L52" t="s">
        <v>91</v>
      </c>
      <c r="M52" s="2">
        <v>100</v>
      </c>
    </row>
    <row r="53" spans="1:13">
      <c r="A53">
        <v>52</v>
      </c>
      <c r="B53" t="s">
        <v>141</v>
      </c>
      <c r="C53" s="1">
        <v>45235</v>
      </c>
      <c r="D53" s="1">
        <v>45242</v>
      </c>
      <c r="E53">
        <v>7</v>
      </c>
      <c r="F53" t="s">
        <v>142</v>
      </c>
      <c r="G53">
        <v>27</v>
      </c>
      <c r="H53" t="s">
        <v>58</v>
      </c>
      <c r="I53" t="s">
        <v>143</v>
      </c>
      <c r="J53" t="s">
        <v>65</v>
      </c>
      <c r="K53" s="2">
        <v>900</v>
      </c>
      <c r="L53" t="s">
        <v>111</v>
      </c>
      <c r="M53" s="2">
        <v>200</v>
      </c>
    </row>
    <row r="54" spans="1:13">
      <c r="A54">
        <v>53</v>
      </c>
      <c r="B54" t="s">
        <v>21</v>
      </c>
      <c r="C54" s="1">
        <v>45284</v>
      </c>
      <c r="D54" s="1">
        <v>45291</v>
      </c>
      <c r="E54">
        <v>7</v>
      </c>
      <c r="F54" t="s">
        <v>144</v>
      </c>
      <c r="G54">
        <v>28</v>
      </c>
      <c r="H54" t="s">
        <v>58</v>
      </c>
      <c r="I54" t="s">
        <v>59</v>
      </c>
      <c r="J54" t="s">
        <v>57</v>
      </c>
      <c r="K54" s="2">
        <v>1400</v>
      </c>
      <c r="L54" t="s">
        <v>39</v>
      </c>
      <c r="M54" s="2">
        <v>800</v>
      </c>
    </row>
    <row r="55" spans="1:13">
      <c r="A55">
        <v>54</v>
      </c>
      <c r="B55" t="s">
        <v>27</v>
      </c>
      <c r="C55" s="1">
        <v>45306</v>
      </c>
      <c r="D55" s="1">
        <v>45315</v>
      </c>
      <c r="E55">
        <v>9</v>
      </c>
      <c r="F55" t="s">
        <v>145</v>
      </c>
      <c r="G55">
        <v>30</v>
      </c>
      <c r="H55" t="s">
        <v>55</v>
      </c>
      <c r="I55" t="s">
        <v>68</v>
      </c>
      <c r="J55" t="s">
        <v>65</v>
      </c>
      <c r="K55" s="2">
        <v>800</v>
      </c>
      <c r="L55" t="s">
        <v>41</v>
      </c>
      <c r="M55" s="2">
        <v>150</v>
      </c>
    </row>
    <row r="56" spans="1:13">
      <c r="A56">
        <v>55</v>
      </c>
      <c r="B56" t="s">
        <v>135</v>
      </c>
      <c r="C56" s="1">
        <v>45323</v>
      </c>
      <c r="D56" s="1">
        <v>45331</v>
      </c>
      <c r="E56">
        <v>8</v>
      </c>
      <c r="F56" t="s">
        <v>146</v>
      </c>
      <c r="G56">
        <v>23</v>
      </c>
      <c r="H56" t="s">
        <v>58</v>
      </c>
      <c r="I56" t="s">
        <v>99</v>
      </c>
      <c r="J56" t="s">
        <v>67</v>
      </c>
      <c r="K56" s="2">
        <v>400</v>
      </c>
      <c r="L56" t="s">
        <v>91</v>
      </c>
      <c r="M56" s="2">
        <v>50</v>
      </c>
    </row>
    <row r="57" spans="1:13">
      <c r="A57">
        <v>56</v>
      </c>
      <c r="B57" t="s">
        <v>17</v>
      </c>
      <c r="C57" s="1">
        <v>45366</v>
      </c>
      <c r="D57" s="1">
        <v>45374</v>
      </c>
      <c r="E57">
        <v>8</v>
      </c>
      <c r="F57" t="s">
        <v>147</v>
      </c>
      <c r="G57">
        <v>35</v>
      </c>
      <c r="H57" t="s">
        <v>55</v>
      </c>
      <c r="I57" t="s">
        <v>63</v>
      </c>
      <c r="J57" t="s">
        <v>57</v>
      </c>
      <c r="K57" s="2">
        <v>1000</v>
      </c>
      <c r="L57" t="s">
        <v>41</v>
      </c>
      <c r="M57" s="2">
        <v>200</v>
      </c>
    </row>
    <row r="58" spans="1:13">
      <c r="A58">
        <v>57</v>
      </c>
      <c r="B58" t="s">
        <v>7</v>
      </c>
      <c r="C58" s="1">
        <v>45387</v>
      </c>
      <c r="D58" s="1">
        <v>45395</v>
      </c>
      <c r="E58">
        <v>8</v>
      </c>
      <c r="F58" t="s">
        <v>148</v>
      </c>
      <c r="G58">
        <v>29</v>
      </c>
      <c r="H58" t="s">
        <v>58</v>
      </c>
      <c r="I58" t="s">
        <v>72</v>
      </c>
      <c r="J58" t="s">
        <v>65</v>
      </c>
      <c r="K58" s="2">
        <v>700</v>
      </c>
      <c r="L58" t="s">
        <v>111</v>
      </c>
      <c r="M58" s="2">
        <v>250</v>
      </c>
    </row>
    <row r="59" spans="1:13">
      <c r="A59">
        <v>58</v>
      </c>
      <c r="B59" t="s">
        <v>149</v>
      </c>
      <c r="C59" s="1">
        <v>45422</v>
      </c>
      <c r="D59" s="1">
        <v>45430</v>
      </c>
      <c r="E59">
        <v>8</v>
      </c>
      <c r="F59" t="s">
        <v>150</v>
      </c>
      <c r="G59">
        <v>27</v>
      </c>
      <c r="H59" t="s">
        <v>55</v>
      </c>
      <c r="I59" t="s">
        <v>143</v>
      </c>
      <c r="J59" t="s">
        <v>67</v>
      </c>
      <c r="K59" s="2">
        <v>500</v>
      </c>
      <c r="L59" t="s">
        <v>151</v>
      </c>
      <c r="M59" s="2">
        <v>20</v>
      </c>
    </row>
    <row r="60" spans="1:13">
      <c r="A60">
        <v>59</v>
      </c>
      <c r="B60" t="s">
        <v>152</v>
      </c>
      <c r="C60" s="1">
        <v>45463</v>
      </c>
      <c r="D60" s="1">
        <v>45470</v>
      </c>
      <c r="E60">
        <v>7</v>
      </c>
      <c r="F60" t="s">
        <v>153</v>
      </c>
      <c r="G60">
        <v>26</v>
      </c>
      <c r="H60" t="s">
        <v>55</v>
      </c>
      <c r="I60" t="s">
        <v>73</v>
      </c>
      <c r="J60" t="s">
        <v>57</v>
      </c>
      <c r="K60" s="2">
        <v>1200</v>
      </c>
      <c r="L60" t="s">
        <v>111</v>
      </c>
      <c r="M60" s="2">
        <v>300</v>
      </c>
    </row>
    <row r="61" spans="1:13">
      <c r="A61">
        <v>60</v>
      </c>
      <c r="B61" t="s">
        <v>154</v>
      </c>
      <c r="C61" s="1">
        <v>45488</v>
      </c>
      <c r="D61" s="1">
        <v>45496</v>
      </c>
      <c r="E61">
        <v>8</v>
      </c>
      <c r="F61" t="s">
        <v>155</v>
      </c>
      <c r="G61">
        <v>33</v>
      </c>
      <c r="H61" t="s">
        <v>58</v>
      </c>
      <c r="I61" t="s">
        <v>96</v>
      </c>
      <c r="J61" t="s">
        <v>65</v>
      </c>
      <c r="K61" s="2">
        <v>800</v>
      </c>
      <c r="L61" t="s">
        <v>41</v>
      </c>
      <c r="M61" s="2">
        <v>100</v>
      </c>
    </row>
    <row r="62" spans="1:13">
      <c r="A62">
        <v>61</v>
      </c>
      <c r="B62" t="s">
        <v>80</v>
      </c>
      <c r="C62" s="1">
        <v>44754</v>
      </c>
      <c r="D62" s="1">
        <v>44760</v>
      </c>
      <c r="E62">
        <v>6</v>
      </c>
      <c r="F62" t="s">
        <v>156</v>
      </c>
      <c r="G62">
        <v>35</v>
      </c>
      <c r="H62" t="s">
        <v>58</v>
      </c>
      <c r="I62" t="s">
        <v>56</v>
      </c>
      <c r="J62" t="s">
        <v>57</v>
      </c>
      <c r="K62">
        <v>1200</v>
      </c>
      <c r="L62" t="s">
        <v>81</v>
      </c>
      <c r="M62">
        <v>800</v>
      </c>
    </row>
    <row r="63" spans="1:13">
      <c r="A63">
        <v>62</v>
      </c>
      <c r="B63" t="s">
        <v>86</v>
      </c>
      <c r="C63" s="1">
        <v>44807</v>
      </c>
      <c r="D63" s="1">
        <v>44814</v>
      </c>
      <c r="E63">
        <v>7</v>
      </c>
      <c r="F63" t="s">
        <v>87</v>
      </c>
      <c r="G63">
        <v>28</v>
      </c>
      <c r="H63" t="s">
        <v>55</v>
      </c>
      <c r="I63" t="s">
        <v>88</v>
      </c>
      <c r="J63" t="s">
        <v>67</v>
      </c>
      <c r="K63">
        <v>400</v>
      </c>
      <c r="L63" t="s">
        <v>41</v>
      </c>
      <c r="M63">
        <v>300</v>
      </c>
    </row>
    <row r="64" spans="1:13">
      <c r="A64">
        <v>63</v>
      </c>
      <c r="B64" t="s">
        <v>157</v>
      </c>
      <c r="C64" s="1">
        <v>44933</v>
      </c>
      <c r="D64" s="1">
        <v>44942</v>
      </c>
      <c r="E64">
        <v>9</v>
      </c>
      <c r="F64" t="s">
        <v>158</v>
      </c>
      <c r="G64">
        <v>29</v>
      </c>
      <c r="H64" t="s">
        <v>58</v>
      </c>
      <c r="I64" t="s">
        <v>63</v>
      </c>
      <c r="J64" t="s">
        <v>159</v>
      </c>
      <c r="K64">
        <v>800</v>
      </c>
      <c r="L64" t="s">
        <v>111</v>
      </c>
      <c r="M64">
        <v>200</v>
      </c>
    </row>
    <row r="65" spans="1:13">
      <c r="A65">
        <v>64</v>
      </c>
      <c r="B65" t="s">
        <v>92</v>
      </c>
      <c r="C65" s="1">
        <v>45100</v>
      </c>
      <c r="D65" s="1">
        <v>45106</v>
      </c>
      <c r="E65">
        <v>6</v>
      </c>
      <c r="F65" t="s">
        <v>8</v>
      </c>
      <c r="G65">
        <v>43</v>
      </c>
      <c r="H65" t="s">
        <v>55</v>
      </c>
      <c r="I65" t="s">
        <v>66</v>
      </c>
      <c r="J65" t="s">
        <v>57</v>
      </c>
      <c r="K65">
        <v>1500</v>
      </c>
      <c r="L65" t="s">
        <v>81</v>
      </c>
      <c r="M65">
        <v>1200</v>
      </c>
    </row>
    <row r="66" spans="1:13">
      <c r="A66">
        <v>65</v>
      </c>
      <c r="B66" t="s">
        <v>103</v>
      </c>
      <c r="C66" s="1">
        <v>45156</v>
      </c>
      <c r="D66" s="1">
        <v>45163</v>
      </c>
      <c r="E66">
        <v>7</v>
      </c>
      <c r="F66" t="s">
        <v>160</v>
      </c>
      <c r="G66">
        <v>31</v>
      </c>
      <c r="H66" t="s">
        <v>58</v>
      </c>
      <c r="I66" t="s">
        <v>72</v>
      </c>
      <c r="J66" t="s">
        <v>159</v>
      </c>
      <c r="K66">
        <v>900</v>
      </c>
      <c r="L66" t="s">
        <v>81</v>
      </c>
      <c r="M66">
        <v>700</v>
      </c>
    </row>
    <row r="67" spans="1:13">
      <c r="A67">
        <v>66</v>
      </c>
      <c r="B67" t="s">
        <v>82</v>
      </c>
      <c r="C67" s="1">
        <v>45323</v>
      </c>
      <c r="D67" s="1">
        <v>45330</v>
      </c>
      <c r="E67">
        <v>7</v>
      </c>
      <c r="F67" t="s">
        <v>161</v>
      </c>
      <c r="G67">
        <v>27</v>
      </c>
      <c r="H67" t="s">
        <v>55</v>
      </c>
      <c r="I67" t="s">
        <v>56</v>
      </c>
      <c r="J67" t="s">
        <v>60</v>
      </c>
      <c r="K67">
        <v>2200</v>
      </c>
      <c r="L67" t="s">
        <v>81</v>
      </c>
      <c r="M67">
        <v>1000</v>
      </c>
    </row>
    <row r="68" spans="1:13">
      <c r="A68">
        <v>67</v>
      </c>
      <c r="B68" t="s">
        <v>80</v>
      </c>
      <c r="C68" s="1">
        <v>45418</v>
      </c>
      <c r="D68" s="1">
        <v>45424</v>
      </c>
      <c r="E68">
        <v>6</v>
      </c>
      <c r="F68" t="s">
        <v>162</v>
      </c>
      <c r="G68">
        <v>39</v>
      </c>
      <c r="H68" t="s">
        <v>58</v>
      </c>
      <c r="I68" t="s">
        <v>163</v>
      </c>
      <c r="J68" t="s">
        <v>57</v>
      </c>
      <c r="K68">
        <v>1100</v>
      </c>
      <c r="L68" t="s">
        <v>41</v>
      </c>
      <c r="M68">
        <v>200</v>
      </c>
    </row>
    <row r="69" spans="1:13">
      <c r="A69">
        <v>68</v>
      </c>
      <c r="B69" t="s">
        <v>89</v>
      </c>
      <c r="C69" s="1">
        <v>45493</v>
      </c>
      <c r="D69" s="1">
        <v>45499</v>
      </c>
      <c r="E69">
        <v>6</v>
      </c>
      <c r="F69" t="s">
        <v>164</v>
      </c>
      <c r="G69">
        <v>25</v>
      </c>
      <c r="H69" t="s">
        <v>55</v>
      </c>
      <c r="I69" t="s">
        <v>56</v>
      </c>
      <c r="J69" t="s">
        <v>159</v>
      </c>
      <c r="K69">
        <v>1000</v>
      </c>
      <c r="L69" t="s">
        <v>81</v>
      </c>
      <c r="M69">
        <v>800</v>
      </c>
    </row>
    <row r="70" spans="1:13">
      <c r="A70">
        <v>69</v>
      </c>
      <c r="B70" t="s">
        <v>97</v>
      </c>
      <c r="C70" s="1">
        <v>45543</v>
      </c>
      <c r="D70" s="1">
        <v>45551</v>
      </c>
      <c r="E70">
        <v>8</v>
      </c>
      <c r="F70" t="s">
        <v>165</v>
      </c>
      <c r="G70">
        <v>33</v>
      </c>
      <c r="H70" t="s">
        <v>58</v>
      </c>
      <c r="I70" t="s">
        <v>99</v>
      </c>
      <c r="J70" t="s">
        <v>67</v>
      </c>
      <c r="K70">
        <v>300</v>
      </c>
      <c r="L70" t="s">
        <v>81</v>
      </c>
      <c r="M70">
        <v>700</v>
      </c>
    </row>
    <row r="71" spans="1:13">
      <c r="A71">
        <v>70</v>
      </c>
      <c r="B71" t="s">
        <v>94</v>
      </c>
      <c r="C71" s="1">
        <v>45702</v>
      </c>
      <c r="D71" s="1">
        <v>45708</v>
      </c>
      <c r="E71">
        <v>6</v>
      </c>
      <c r="F71" t="s">
        <v>166</v>
      </c>
      <c r="G71">
        <v>41</v>
      </c>
      <c r="H71" t="s">
        <v>55</v>
      </c>
      <c r="I71" t="s">
        <v>96</v>
      </c>
      <c r="J71" t="s">
        <v>57</v>
      </c>
      <c r="K71">
        <v>1300</v>
      </c>
      <c r="L71" t="s">
        <v>41</v>
      </c>
      <c r="M71">
        <v>100</v>
      </c>
    </row>
    <row r="72" spans="1:13">
      <c r="A72">
        <v>71</v>
      </c>
      <c r="B72" t="s">
        <v>82</v>
      </c>
      <c r="C72" s="1">
        <v>45798</v>
      </c>
      <c r="D72" s="1">
        <v>45806</v>
      </c>
      <c r="E72">
        <v>8</v>
      </c>
      <c r="F72" t="s">
        <v>167</v>
      </c>
      <c r="G72">
        <v>37</v>
      </c>
      <c r="H72" t="s">
        <v>58</v>
      </c>
      <c r="I72" t="s">
        <v>63</v>
      </c>
      <c r="J72" t="s">
        <v>60</v>
      </c>
      <c r="K72">
        <v>1800</v>
      </c>
      <c r="L72" t="s">
        <v>81</v>
      </c>
      <c r="M72">
        <v>1000</v>
      </c>
    </row>
    <row r="73" spans="1:13">
      <c r="A73">
        <v>72</v>
      </c>
    </row>
    <row r="74" spans="1:13">
      <c r="A74">
        <v>73</v>
      </c>
      <c r="B74" t="s">
        <v>5</v>
      </c>
      <c r="C74" s="1">
        <v>44778</v>
      </c>
      <c r="D74" s="1">
        <v>44785</v>
      </c>
      <c r="E74">
        <v>7</v>
      </c>
      <c r="F74" t="s">
        <v>168</v>
      </c>
      <c r="G74">
        <v>35</v>
      </c>
      <c r="H74" t="s">
        <v>58</v>
      </c>
      <c r="I74" t="s">
        <v>143</v>
      </c>
      <c r="J74" t="s">
        <v>60</v>
      </c>
      <c r="K74" t="s">
        <v>169</v>
      </c>
      <c r="L74" t="s">
        <v>81</v>
      </c>
      <c r="M74" t="s">
        <v>170</v>
      </c>
    </row>
    <row r="75" spans="1:13">
      <c r="A75">
        <v>74</v>
      </c>
      <c r="B75" t="s">
        <v>31</v>
      </c>
      <c r="C75" s="1">
        <v>44927</v>
      </c>
      <c r="D75" s="1">
        <v>44935</v>
      </c>
      <c r="E75">
        <v>8</v>
      </c>
      <c r="F75" t="s">
        <v>171</v>
      </c>
      <c r="G75">
        <v>29</v>
      </c>
      <c r="H75" t="s">
        <v>55</v>
      </c>
      <c r="I75" t="s">
        <v>56</v>
      </c>
      <c r="J75" t="s">
        <v>57</v>
      </c>
      <c r="K75" t="s">
        <v>172</v>
      </c>
      <c r="L75" t="s">
        <v>41</v>
      </c>
      <c r="M75" t="s">
        <v>173</v>
      </c>
    </row>
    <row r="76" spans="1:13">
      <c r="A76">
        <v>75</v>
      </c>
      <c r="B76" t="s">
        <v>11</v>
      </c>
      <c r="C76" s="1">
        <v>45031</v>
      </c>
      <c r="D76" s="1">
        <v>45038</v>
      </c>
      <c r="E76">
        <v>7</v>
      </c>
      <c r="F76" t="s">
        <v>174</v>
      </c>
      <c r="G76">
        <v>42</v>
      </c>
      <c r="H76" t="s">
        <v>58</v>
      </c>
      <c r="I76" t="s">
        <v>71</v>
      </c>
      <c r="J76" t="s">
        <v>60</v>
      </c>
      <c r="K76" t="s">
        <v>170</v>
      </c>
      <c r="L76" t="s">
        <v>81</v>
      </c>
      <c r="M76" t="s">
        <v>169</v>
      </c>
    </row>
    <row r="77" spans="1:13">
      <c r="A77">
        <v>76</v>
      </c>
      <c r="B77" t="s">
        <v>23</v>
      </c>
      <c r="C77" s="1">
        <v>45084</v>
      </c>
      <c r="D77" s="1">
        <v>45091</v>
      </c>
      <c r="E77">
        <v>7</v>
      </c>
      <c r="F77" t="s">
        <v>18</v>
      </c>
      <c r="G77">
        <v>46</v>
      </c>
      <c r="H77" t="s">
        <v>55</v>
      </c>
      <c r="I77" t="s">
        <v>63</v>
      </c>
      <c r="J77" t="s">
        <v>57</v>
      </c>
      <c r="K77" t="s">
        <v>175</v>
      </c>
      <c r="L77" t="s">
        <v>81</v>
      </c>
      <c r="M77" t="s">
        <v>176</v>
      </c>
    </row>
    <row r="78" spans="1:13">
      <c r="A78">
        <v>77</v>
      </c>
      <c r="B78" t="s">
        <v>177</v>
      </c>
      <c r="C78" s="1">
        <v>45170</v>
      </c>
      <c r="D78" s="1">
        <v>45179</v>
      </c>
      <c r="E78">
        <v>9</v>
      </c>
      <c r="F78" t="s">
        <v>178</v>
      </c>
      <c r="G78">
        <v>31</v>
      </c>
      <c r="H78" t="s">
        <v>55</v>
      </c>
      <c r="I78" t="s">
        <v>179</v>
      </c>
      <c r="J78" t="s">
        <v>180</v>
      </c>
      <c r="K78" t="s">
        <v>181</v>
      </c>
      <c r="L78" t="s">
        <v>182</v>
      </c>
      <c r="M78" t="s">
        <v>183</v>
      </c>
    </row>
    <row r="79" spans="1:13">
      <c r="A79">
        <v>78</v>
      </c>
      <c r="B79" t="s">
        <v>5</v>
      </c>
      <c r="C79" s="1">
        <v>45242</v>
      </c>
      <c r="D79" s="1">
        <v>45249</v>
      </c>
      <c r="E79">
        <v>7</v>
      </c>
      <c r="F79" t="s">
        <v>184</v>
      </c>
      <c r="G79">
        <v>25</v>
      </c>
      <c r="H79" t="s">
        <v>58</v>
      </c>
      <c r="I79" t="s">
        <v>185</v>
      </c>
      <c r="J79" t="s">
        <v>60</v>
      </c>
      <c r="K79" t="s">
        <v>186</v>
      </c>
      <c r="L79" t="s">
        <v>81</v>
      </c>
      <c r="M79" t="s">
        <v>176</v>
      </c>
    </row>
    <row r="80" spans="1:13">
      <c r="A80">
        <v>79</v>
      </c>
      <c r="B80" t="s">
        <v>187</v>
      </c>
      <c r="C80" s="1">
        <v>45327</v>
      </c>
      <c r="D80" s="1">
        <v>45334</v>
      </c>
      <c r="E80">
        <v>7</v>
      </c>
      <c r="F80" t="s">
        <v>8</v>
      </c>
      <c r="G80">
        <v>38</v>
      </c>
      <c r="H80" t="s">
        <v>55</v>
      </c>
      <c r="I80" t="s">
        <v>66</v>
      </c>
      <c r="J80" t="s">
        <v>57</v>
      </c>
      <c r="K80" t="s">
        <v>188</v>
      </c>
      <c r="L80" t="s">
        <v>81</v>
      </c>
      <c r="M80" t="s">
        <v>186</v>
      </c>
    </row>
    <row r="81" spans="1:13">
      <c r="A81">
        <v>80</v>
      </c>
      <c r="B81" t="s">
        <v>189</v>
      </c>
      <c r="C81" s="1">
        <v>45427</v>
      </c>
      <c r="D81" s="1">
        <v>45434</v>
      </c>
      <c r="E81">
        <v>7</v>
      </c>
      <c r="F81" t="s">
        <v>190</v>
      </c>
      <c r="G81">
        <v>27</v>
      </c>
      <c r="H81" t="s">
        <v>58</v>
      </c>
      <c r="I81" t="s">
        <v>61</v>
      </c>
      <c r="J81" t="s">
        <v>57</v>
      </c>
      <c r="K81" t="s">
        <v>181</v>
      </c>
      <c r="L81" t="s">
        <v>81</v>
      </c>
      <c r="M81" t="s">
        <v>181</v>
      </c>
    </row>
    <row r="82" spans="1:13">
      <c r="A82">
        <v>81</v>
      </c>
      <c r="B82" t="s">
        <v>21</v>
      </c>
      <c r="C82" s="1">
        <v>45524</v>
      </c>
      <c r="D82" s="1">
        <v>45531</v>
      </c>
      <c r="E82">
        <v>7</v>
      </c>
      <c r="F82" t="s">
        <v>191</v>
      </c>
      <c r="G82">
        <v>60</v>
      </c>
      <c r="H82" t="s">
        <v>55</v>
      </c>
      <c r="I82" t="s">
        <v>56</v>
      </c>
      <c r="J82" t="s">
        <v>57</v>
      </c>
      <c r="K82" t="s">
        <v>192</v>
      </c>
      <c r="L82" t="s">
        <v>81</v>
      </c>
      <c r="M82" t="s">
        <v>172</v>
      </c>
    </row>
    <row r="83" spans="1:13">
      <c r="A83">
        <v>82</v>
      </c>
      <c r="B83" t="s">
        <v>193</v>
      </c>
      <c r="C83" s="1">
        <v>45658</v>
      </c>
      <c r="D83" s="1">
        <v>45665</v>
      </c>
      <c r="E83">
        <v>7</v>
      </c>
      <c r="F83" t="s">
        <v>194</v>
      </c>
      <c r="G83">
        <v>32</v>
      </c>
      <c r="H83" t="s">
        <v>58</v>
      </c>
      <c r="I83" t="s">
        <v>63</v>
      </c>
      <c r="J83" t="s">
        <v>60</v>
      </c>
      <c r="K83" t="s">
        <v>176</v>
      </c>
      <c r="L83" t="s">
        <v>81</v>
      </c>
      <c r="M83" t="s">
        <v>170</v>
      </c>
    </row>
    <row r="84" spans="1:13">
      <c r="A84">
        <v>83</v>
      </c>
      <c r="B84" t="s">
        <v>154</v>
      </c>
      <c r="C84" s="1">
        <v>45762</v>
      </c>
      <c r="D84" s="1">
        <v>45769</v>
      </c>
      <c r="E84">
        <v>7</v>
      </c>
      <c r="F84" t="s">
        <v>195</v>
      </c>
      <c r="G84">
        <v>41</v>
      </c>
      <c r="H84" t="s">
        <v>55</v>
      </c>
      <c r="I84" t="s">
        <v>56</v>
      </c>
      <c r="J84" t="s">
        <v>57</v>
      </c>
      <c r="K84">
        <v>100</v>
      </c>
    </row>
    <row r="85" spans="1:13">
      <c r="A85">
        <v>84</v>
      </c>
      <c r="B85" t="s">
        <v>80</v>
      </c>
      <c r="C85" s="1">
        <v>44362</v>
      </c>
      <c r="D85" s="1">
        <v>44367</v>
      </c>
      <c r="E85">
        <v>6</v>
      </c>
      <c r="F85" t="s">
        <v>18</v>
      </c>
      <c r="G85">
        <v>35</v>
      </c>
      <c r="H85" t="s">
        <v>55</v>
      </c>
      <c r="I85" t="s">
        <v>56</v>
      </c>
      <c r="J85" t="s">
        <v>57</v>
      </c>
      <c r="K85" t="s">
        <v>170</v>
      </c>
      <c r="L85" t="s">
        <v>81</v>
      </c>
      <c r="M85" t="s">
        <v>169</v>
      </c>
    </row>
    <row r="86" spans="1:13">
      <c r="A86">
        <v>85</v>
      </c>
      <c r="B86" t="s">
        <v>86</v>
      </c>
      <c r="C86" s="1">
        <v>44378</v>
      </c>
      <c r="D86" s="1">
        <v>44387</v>
      </c>
      <c r="E86">
        <v>10</v>
      </c>
      <c r="F86" t="s">
        <v>168</v>
      </c>
      <c r="G86">
        <v>28</v>
      </c>
      <c r="H86" t="s">
        <v>58</v>
      </c>
      <c r="I86" t="s">
        <v>61</v>
      </c>
      <c r="J86" t="s">
        <v>65</v>
      </c>
      <c r="K86" t="s">
        <v>169</v>
      </c>
      <c r="L86" t="s">
        <v>41</v>
      </c>
      <c r="M86" t="s">
        <v>183</v>
      </c>
    </row>
    <row r="87" spans="1:13">
      <c r="A87">
        <v>86</v>
      </c>
      <c r="B87" t="s">
        <v>82</v>
      </c>
      <c r="C87" s="1">
        <v>44418</v>
      </c>
      <c r="D87" s="1">
        <v>44428</v>
      </c>
      <c r="E87">
        <v>11</v>
      </c>
      <c r="F87" t="s">
        <v>104</v>
      </c>
      <c r="G87">
        <v>42</v>
      </c>
      <c r="H87" t="s">
        <v>58</v>
      </c>
      <c r="I87" t="s">
        <v>72</v>
      </c>
      <c r="J87" t="s">
        <v>60</v>
      </c>
      <c r="K87" t="s">
        <v>175</v>
      </c>
      <c r="L87" t="s">
        <v>81</v>
      </c>
      <c r="M87" t="s">
        <v>176</v>
      </c>
    </row>
    <row r="88" spans="1:13">
      <c r="A88">
        <v>87</v>
      </c>
      <c r="B88" t="s">
        <v>92</v>
      </c>
      <c r="C88" s="1">
        <v>44440</v>
      </c>
      <c r="D88" s="1">
        <v>44449</v>
      </c>
      <c r="E88">
        <v>9</v>
      </c>
      <c r="F88" t="s">
        <v>8</v>
      </c>
      <c r="G88">
        <v>45</v>
      </c>
      <c r="H88" t="s">
        <v>55</v>
      </c>
      <c r="I88" t="s">
        <v>66</v>
      </c>
      <c r="J88" t="s">
        <v>57</v>
      </c>
      <c r="K88" t="s">
        <v>188</v>
      </c>
      <c r="L88" t="s">
        <v>81</v>
      </c>
      <c r="M88" t="s">
        <v>186</v>
      </c>
    </row>
    <row r="89" spans="1:13">
      <c r="A89">
        <v>88</v>
      </c>
      <c r="B89" t="s">
        <v>89</v>
      </c>
      <c r="C89" s="1">
        <v>44484</v>
      </c>
      <c r="D89" s="1">
        <v>44489</v>
      </c>
      <c r="E89">
        <v>6</v>
      </c>
      <c r="F89" t="s">
        <v>10</v>
      </c>
      <c r="G89">
        <v>31</v>
      </c>
      <c r="H89" t="s">
        <v>58</v>
      </c>
      <c r="I89" t="s">
        <v>56</v>
      </c>
      <c r="J89" t="s">
        <v>65</v>
      </c>
      <c r="K89" t="s">
        <v>176</v>
      </c>
      <c r="L89" t="s">
        <v>111</v>
      </c>
      <c r="M89" t="s">
        <v>173</v>
      </c>
    </row>
    <row r="90" spans="1:13">
      <c r="A90">
        <v>89</v>
      </c>
      <c r="B90" t="s">
        <v>84</v>
      </c>
      <c r="C90" s="1">
        <v>44520</v>
      </c>
      <c r="D90" s="1">
        <v>44530</v>
      </c>
      <c r="E90">
        <v>11</v>
      </c>
      <c r="F90" t="s">
        <v>93</v>
      </c>
      <c r="G90">
        <v>29</v>
      </c>
      <c r="H90" t="s">
        <v>55</v>
      </c>
      <c r="I90" t="s">
        <v>63</v>
      </c>
      <c r="J90" t="s">
        <v>67</v>
      </c>
      <c r="K90" t="s">
        <v>183</v>
      </c>
      <c r="L90" t="s">
        <v>81</v>
      </c>
      <c r="M90" t="s">
        <v>181</v>
      </c>
    </row>
    <row r="91" spans="1:13">
      <c r="A91">
        <v>90</v>
      </c>
      <c r="B91" t="s">
        <v>196</v>
      </c>
      <c r="C91" s="1">
        <v>44562</v>
      </c>
      <c r="D91" s="1">
        <v>44569</v>
      </c>
      <c r="E91">
        <v>8</v>
      </c>
      <c r="F91" t="s">
        <v>197</v>
      </c>
      <c r="G91">
        <v>24</v>
      </c>
      <c r="H91" t="s">
        <v>58</v>
      </c>
      <c r="I91" t="s">
        <v>70</v>
      </c>
      <c r="J91" t="s">
        <v>57</v>
      </c>
      <c r="K91" t="s">
        <v>172</v>
      </c>
      <c r="L91" t="s">
        <v>81</v>
      </c>
      <c r="M91" t="s">
        <v>170</v>
      </c>
    </row>
    <row r="92" spans="1:13">
      <c r="A92">
        <v>91</v>
      </c>
      <c r="B92" t="s">
        <v>97</v>
      </c>
      <c r="C92" s="1">
        <v>44606</v>
      </c>
      <c r="D92" s="1">
        <v>44612</v>
      </c>
      <c r="E92">
        <v>7</v>
      </c>
      <c r="F92" t="s">
        <v>198</v>
      </c>
      <c r="G92">
        <v>26</v>
      </c>
      <c r="H92" t="s">
        <v>55</v>
      </c>
      <c r="I92" t="s">
        <v>64</v>
      </c>
      <c r="J92" t="s">
        <v>65</v>
      </c>
      <c r="K92" t="s">
        <v>181</v>
      </c>
      <c r="L92" t="s">
        <v>41</v>
      </c>
      <c r="M92" t="s">
        <v>199</v>
      </c>
    </row>
    <row r="93" spans="1:13">
      <c r="A93">
        <v>92</v>
      </c>
      <c r="B93" t="s">
        <v>94</v>
      </c>
      <c r="C93" s="1">
        <v>44630</v>
      </c>
      <c r="D93" s="1">
        <v>44640</v>
      </c>
      <c r="E93">
        <v>11</v>
      </c>
      <c r="F93" t="s">
        <v>200</v>
      </c>
      <c r="G93">
        <v>30</v>
      </c>
      <c r="H93" t="s">
        <v>58</v>
      </c>
      <c r="I93" t="s">
        <v>96</v>
      </c>
      <c r="J93" t="s">
        <v>67</v>
      </c>
      <c r="K93" t="s">
        <v>173</v>
      </c>
      <c r="L93" t="s">
        <v>81</v>
      </c>
      <c r="M93" t="s">
        <v>201</v>
      </c>
    </row>
    <row r="94" spans="1:13">
      <c r="A94">
        <v>93</v>
      </c>
      <c r="B94" t="s">
        <v>82</v>
      </c>
      <c r="C94" s="1">
        <v>44666</v>
      </c>
      <c r="D94" s="1">
        <v>44676</v>
      </c>
      <c r="E94">
        <v>11</v>
      </c>
      <c r="F94" t="s">
        <v>202</v>
      </c>
      <c r="G94">
        <v>33</v>
      </c>
      <c r="H94" t="s">
        <v>55</v>
      </c>
      <c r="I94" t="s">
        <v>203</v>
      </c>
      <c r="J94" t="s">
        <v>62</v>
      </c>
      <c r="K94" t="s">
        <v>192</v>
      </c>
      <c r="L94" t="s">
        <v>111</v>
      </c>
      <c r="M94" t="s">
        <v>183</v>
      </c>
    </row>
    <row r="95" spans="1:13">
      <c r="A95">
        <v>94</v>
      </c>
      <c r="B95" t="s">
        <v>204</v>
      </c>
      <c r="C95" s="1">
        <v>44682</v>
      </c>
      <c r="D95" s="1">
        <v>44691</v>
      </c>
      <c r="E95">
        <v>10</v>
      </c>
      <c r="F95" t="s">
        <v>205</v>
      </c>
      <c r="G95">
        <v>27</v>
      </c>
      <c r="H95" t="s">
        <v>58</v>
      </c>
      <c r="I95" t="s">
        <v>61</v>
      </c>
      <c r="J95" t="s">
        <v>57</v>
      </c>
      <c r="K95" t="s">
        <v>170</v>
      </c>
      <c r="L95" t="s">
        <v>41</v>
      </c>
      <c r="M95" t="s">
        <v>206</v>
      </c>
    </row>
    <row r="96" spans="1:13">
      <c r="A96">
        <v>95</v>
      </c>
      <c r="B96" t="s">
        <v>80</v>
      </c>
      <c r="C96" s="1">
        <v>44727</v>
      </c>
      <c r="D96" s="1">
        <v>44732</v>
      </c>
      <c r="E96">
        <v>5</v>
      </c>
      <c r="F96" t="s">
        <v>18</v>
      </c>
      <c r="G96">
        <v>35</v>
      </c>
      <c r="H96" t="s">
        <v>55</v>
      </c>
      <c r="I96" t="s">
        <v>207</v>
      </c>
      <c r="J96" t="s">
        <v>57</v>
      </c>
      <c r="K96" s="2">
        <v>500</v>
      </c>
      <c r="L96" t="s">
        <v>81</v>
      </c>
      <c r="M96" s="2">
        <v>800</v>
      </c>
    </row>
    <row r="97" spans="1:13">
      <c r="A97">
        <v>96</v>
      </c>
      <c r="B97" t="s">
        <v>86</v>
      </c>
      <c r="C97" s="1">
        <v>44805</v>
      </c>
      <c r="D97" s="1">
        <v>44814</v>
      </c>
      <c r="E97">
        <v>9</v>
      </c>
      <c r="F97" t="s">
        <v>208</v>
      </c>
      <c r="G97">
        <v>28</v>
      </c>
      <c r="H97" t="s">
        <v>58</v>
      </c>
      <c r="I97" t="s">
        <v>126</v>
      </c>
      <c r="J97" t="s">
        <v>65</v>
      </c>
      <c r="K97" s="2">
        <v>400</v>
      </c>
      <c r="L97" t="s">
        <v>41</v>
      </c>
      <c r="M97" s="2">
        <v>200</v>
      </c>
    </row>
    <row r="98" spans="1:13">
      <c r="A98">
        <v>97</v>
      </c>
      <c r="B98" t="s">
        <v>92</v>
      </c>
      <c r="C98" s="1">
        <v>44888</v>
      </c>
      <c r="D98" s="1">
        <v>44897</v>
      </c>
      <c r="E98">
        <v>9</v>
      </c>
      <c r="F98" t="s">
        <v>8</v>
      </c>
      <c r="G98">
        <v>45</v>
      </c>
      <c r="H98" t="s">
        <v>55</v>
      </c>
      <c r="I98" t="s">
        <v>209</v>
      </c>
      <c r="J98" t="s">
        <v>67</v>
      </c>
      <c r="K98" s="2">
        <v>200</v>
      </c>
      <c r="L98" t="s">
        <v>81</v>
      </c>
      <c r="M98" s="2">
        <v>1200</v>
      </c>
    </row>
    <row r="99" spans="1:13">
      <c r="A99">
        <v>98</v>
      </c>
      <c r="B99" t="s">
        <v>84</v>
      </c>
      <c r="C99" s="1">
        <v>44971</v>
      </c>
      <c r="D99" s="1">
        <v>44976</v>
      </c>
      <c r="E99">
        <v>5</v>
      </c>
      <c r="F99" t="s">
        <v>167</v>
      </c>
      <c r="G99">
        <v>37</v>
      </c>
      <c r="H99" t="s">
        <v>58</v>
      </c>
      <c r="I99" t="s">
        <v>210</v>
      </c>
      <c r="J99" t="s">
        <v>57</v>
      </c>
      <c r="K99" s="2">
        <v>600</v>
      </c>
      <c r="L99" t="s">
        <v>81</v>
      </c>
      <c r="M99" s="2">
        <v>700</v>
      </c>
    </row>
    <row r="100" spans="1:13">
      <c r="A100">
        <v>99</v>
      </c>
      <c r="B100" t="s">
        <v>89</v>
      </c>
      <c r="C100" s="1">
        <v>45054</v>
      </c>
      <c r="D100" s="1">
        <v>45060</v>
      </c>
      <c r="E100">
        <v>6</v>
      </c>
      <c r="F100" t="s">
        <v>211</v>
      </c>
      <c r="G100">
        <v>50</v>
      </c>
      <c r="H100" t="s">
        <v>55</v>
      </c>
      <c r="I100" t="s">
        <v>212</v>
      </c>
      <c r="J100" t="s">
        <v>65</v>
      </c>
      <c r="K100" s="2">
        <v>800</v>
      </c>
      <c r="L100" t="s">
        <v>111</v>
      </c>
      <c r="M100" s="2">
        <v>300</v>
      </c>
    </row>
    <row r="101" spans="1:13">
      <c r="A101">
        <v>100</v>
      </c>
      <c r="B101" t="s">
        <v>94</v>
      </c>
      <c r="C101" s="1">
        <v>45158</v>
      </c>
      <c r="D101" s="1">
        <v>45165</v>
      </c>
      <c r="E101">
        <v>7</v>
      </c>
      <c r="F101" t="s">
        <v>213</v>
      </c>
      <c r="G101">
        <v>31</v>
      </c>
      <c r="H101" t="s">
        <v>58</v>
      </c>
      <c r="I101" t="s">
        <v>214</v>
      </c>
      <c r="J101" t="s">
        <v>57</v>
      </c>
      <c r="K101" s="2">
        <v>700</v>
      </c>
      <c r="L101" t="s">
        <v>81</v>
      </c>
      <c r="M101" s="2">
        <v>900</v>
      </c>
    </row>
    <row r="102" spans="1:13">
      <c r="A102">
        <v>101</v>
      </c>
      <c r="B102" t="s">
        <v>97</v>
      </c>
      <c r="C102" s="1">
        <v>45242</v>
      </c>
      <c r="D102" s="1">
        <v>45250</v>
      </c>
      <c r="E102">
        <v>8</v>
      </c>
      <c r="F102" t="s">
        <v>215</v>
      </c>
      <c r="G102">
        <v>42</v>
      </c>
      <c r="H102" t="s">
        <v>55</v>
      </c>
      <c r="I102" t="s">
        <v>105</v>
      </c>
      <c r="J102" t="s">
        <v>67</v>
      </c>
      <c r="K102" s="2">
        <v>300</v>
      </c>
      <c r="L102" t="s">
        <v>41</v>
      </c>
      <c r="M102" s="2">
        <v>100</v>
      </c>
    </row>
    <row r="103" spans="1:13">
      <c r="A103">
        <v>102</v>
      </c>
      <c r="B103" t="s">
        <v>157</v>
      </c>
      <c r="C103" s="1">
        <v>45297</v>
      </c>
      <c r="D103" s="1">
        <v>45305</v>
      </c>
      <c r="E103">
        <v>8</v>
      </c>
      <c r="F103" t="s">
        <v>104</v>
      </c>
      <c r="G103">
        <v>27</v>
      </c>
      <c r="H103" t="s">
        <v>58</v>
      </c>
      <c r="I103" t="s">
        <v>124</v>
      </c>
      <c r="J103" t="s">
        <v>65</v>
      </c>
      <c r="K103" s="2">
        <v>500</v>
      </c>
      <c r="L103" t="s">
        <v>81</v>
      </c>
      <c r="M103" s="2">
        <v>1500</v>
      </c>
    </row>
    <row r="104" spans="1:13">
      <c r="A104">
        <v>103</v>
      </c>
      <c r="B104" t="s">
        <v>216</v>
      </c>
      <c r="C104" s="1">
        <v>45385</v>
      </c>
      <c r="D104" s="1">
        <v>45392</v>
      </c>
      <c r="E104">
        <v>7</v>
      </c>
      <c r="F104" t="s">
        <v>217</v>
      </c>
      <c r="G104">
        <v>33</v>
      </c>
      <c r="H104" t="s">
        <v>55</v>
      </c>
      <c r="I104" t="s">
        <v>114</v>
      </c>
      <c r="J104" t="s">
        <v>57</v>
      </c>
      <c r="K104" s="2">
        <v>900</v>
      </c>
      <c r="L104" t="s">
        <v>111</v>
      </c>
      <c r="M104" s="2">
        <v>400</v>
      </c>
    </row>
    <row r="105" spans="1:13">
      <c r="A105">
        <v>104</v>
      </c>
      <c r="B105" t="s">
        <v>82</v>
      </c>
      <c r="C105" s="1">
        <v>45495</v>
      </c>
      <c r="D105" s="1">
        <v>45501</v>
      </c>
      <c r="E105">
        <v>6</v>
      </c>
      <c r="F105" t="s">
        <v>218</v>
      </c>
      <c r="G105">
        <v>29</v>
      </c>
      <c r="H105" t="s">
        <v>58</v>
      </c>
      <c r="I105" t="s">
        <v>209</v>
      </c>
      <c r="J105" t="s">
        <v>62</v>
      </c>
      <c r="K105" s="2">
        <v>1200</v>
      </c>
      <c r="L105" t="s">
        <v>81</v>
      </c>
      <c r="M105" s="2">
        <v>1000</v>
      </c>
    </row>
    <row r="106" spans="1:13">
      <c r="A106">
        <v>105</v>
      </c>
      <c r="B106" t="s">
        <v>219</v>
      </c>
      <c r="C106" s="1">
        <v>45575</v>
      </c>
      <c r="D106" s="1">
        <v>45582</v>
      </c>
      <c r="E106">
        <v>7</v>
      </c>
      <c r="F106" t="s">
        <v>220</v>
      </c>
      <c r="G106">
        <v>41</v>
      </c>
      <c r="H106" t="s">
        <v>55</v>
      </c>
      <c r="I106" t="s">
        <v>221</v>
      </c>
      <c r="J106" t="s">
        <v>57</v>
      </c>
      <c r="K106" s="2">
        <v>600</v>
      </c>
      <c r="L106" t="s">
        <v>41</v>
      </c>
      <c r="M106" s="2">
        <v>150</v>
      </c>
    </row>
    <row r="107" spans="1:13">
      <c r="A107">
        <v>106</v>
      </c>
      <c r="B107" t="s">
        <v>80</v>
      </c>
      <c r="C107" s="1">
        <v>44696</v>
      </c>
      <c r="D107" s="1">
        <v>44701</v>
      </c>
      <c r="E107">
        <v>5</v>
      </c>
      <c r="F107" t="s">
        <v>18</v>
      </c>
      <c r="G107">
        <v>35</v>
      </c>
      <c r="H107" t="s">
        <v>55</v>
      </c>
      <c r="I107" t="s">
        <v>207</v>
      </c>
      <c r="J107" t="s">
        <v>57</v>
      </c>
      <c r="K107">
        <v>1000</v>
      </c>
      <c r="L107" t="s">
        <v>81</v>
      </c>
      <c r="M107">
        <v>800</v>
      </c>
    </row>
    <row r="108" spans="1:13">
      <c r="A108">
        <v>107</v>
      </c>
      <c r="B108" t="s">
        <v>86</v>
      </c>
      <c r="C108" s="1">
        <v>44805</v>
      </c>
      <c r="D108" s="1">
        <v>44814</v>
      </c>
      <c r="E108">
        <v>9</v>
      </c>
      <c r="F108" t="s">
        <v>168</v>
      </c>
      <c r="G108">
        <v>28</v>
      </c>
      <c r="H108" t="s">
        <v>58</v>
      </c>
      <c r="I108" t="s">
        <v>209</v>
      </c>
      <c r="J108" t="s">
        <v>65</v>
      </c>
      <c r="K108">
        <v>800</v>
      </c>
      <c r="L108" t="s">
        <v>41</v>
      </c>
      <c r="M108">
        <v>500</v>
      </c>
    </row>
    <row r="109" spans="1:13">
      <c r="A109">
        <v>108</v>
      </c>
      <c r="B109" t="s">
        <v>89</v>
      </c>
      <c r="C109" s="1">
        <v>44732</v>
      </c>
      <c r="D109" s="1">
        <v>44737</v>
      </c>
      <c r="E109">
        <v>5</v>
      </c>
      <c r="F109" t="s">
        <v>211</v>
      </c>
      <c r="G109">
        <v>42</v>
      </c>
      <c r="H109" t="s">
        <v>55</v>
      </c>
      <c r="I109" t="s">
        <v>222</v>
      </c>
      <c r="J109" t="s">
        <v>57</v>
      </c>
      <c r="K109">
        <v>1200</v>
      </c>
      <c r="L109" t="s">
        <v>111</v>
      </c>
      <c r="M109">
        <v>200</v>
      </c>
    </row>
    <row r="110" spans="1:13">
      <c r="A110">
        <v>109</v>
      </c>
      <c r="B110" t="s">
        <v>82</v>
      </c>
      <c r="C110" s="1">
        <v>44785</v>
      </c>
      <c r="D110" s="1">
        <v>44793</v>
      </c>
      <c r="E110">
        <v>8</v>
      </c>
      <c r="F110" t="s">
        <v>223</v>
      </c>
      <c r="G110">
        <v>30</v>
      </c>
      <c r="H110" t="s">
        <v>58</v>
      </c>
      <c r="I110" t="s">
        <v>214</v>
      </c>
      <c r="J110" t="s">
        <v>60</v>
      </c>
      <c r="K110">
        <v>1500</v>
      </c>
      <c r="L110" t="s">
        <v>81</v>
      </c>
      <c r="M110">
        <v>1200</v>
      </c>
    </row>
    <row r="111" spans="1:13">
      <c r="A111">
        <v>110</v>
      </c>
      <c r="B111" t="s">
        <v>92</v>
      </c>
      <c r="C111" s="1">
        <v>44743</v>
      </c>
      <c r="D111" s="1">
        <v>44752</v>
      </c>
      <c r="E111">
        <v>9</v>
      </c>
      <c r="F111" t="s">
        <v>102</v>
      </c>
      <c r="G111">
        <v>26</v>
      </c>
      <c r="H111" t="s">
        <v>55</v>
      </c>
      <c r="I111" t="s">
        <v>126</v>
      </c>
      <c r="J111" t="s">
        <v>67</v>
      </c>
      <c r="K111">
        <v>300</v>
      </c>
      <c r="L111" t="s">
        <v>81</v>
      </c>
      <c r="M111">
        <v>900</v>
      </c>
    </row>
    <row r="112" spans="1:13">
      <c r="A112">
        <v>111</v>
      </c>
      <c r="B112" t="s">
        <v>84</v>
      </c>
      <c r="C112" s="1">
        <v>44722</v>
      </c>
      <c r="D112" s="1">
        <v>44727</v>
      </c>
      <c r="E112">
        <v>5</v>
      </c>
      <c r="F112" t="s">
        <v>224</v>
      </c>
      <c r="G112">
        <v>38</v>
      </c>
      <c r="H112" t="s">
        <v>58</v>
      </c>
      <c r="I112" t="s">
        <v>225</v>
      </c>
      <c r="J112" t="s">
        <v>57</v>
      </c>
      <c r="K112">
        <v>900</v>
      </c>
      <c r="L112" t="s">
        <v>41</v>
      </c>
      <c r="M112">
        <v>150</v>
      </c>
    </row>
    <row r="113" spans="1:13">
      <c r="A113">
        <v>112</v>
      </c>
      <c r="B113" t="s">
        <v>226</v>
      </c>
      <c r="C113" s="1">
        <v>44809</v>
      </c>
      <c r="D113" s="1">
        <v>44816</v>
      </c>
      <c r="E113">
        <v>7</v>
      </c>
      <c r="F113" t="s">
        <v>227</v>
      </c>
      <c r="G113">
        <v>45</v>
      </c>
      <c r="H113" t="s">
        <v>55</v>
      </c>
      <c r="I113" t="s">
        <v>228</v>
      </c>
      <c r="J113" t="s">
        <v>62</v>
      </c>
      <c r="K113">
        <v>2000</v>
      </c>
      <c r="L113" t="s">
        <v>81</v>
      </c>
      <c r="M113">
        <v>700</v>
      </c>
    </row>
    <row r="114" spans="1:13">
      <c r="A114">
        <v>113</v>
      </c>
      <c r="B114" t="s">
        <v>94</v>
      </c>
      <c r="C114" s="1">
        <v>44682</v>
      </c>
      <c r="D114" s="1">
        <v>44689</v>
      </c>
      <c r="E114">
        <v>7</v>
      </c>
      <c r="F114" t="s">
        <v>229</v>
      </c>
      <c r="G114">
        <v>31</v>
      </c>
      <c r="H114" t="s">
        <v>58</v>
      </c>
      <c r="I114" t="s">
        <v>122</v>
      </c>
      <c r="J114" t="s">
        <v>57</v>
      </c>
      <c r="K114">
        <v>1100</v>
      </c>
      <c r="L114" t="s">
        <v>41</v>
      </c>
      <c r="M114">
        <v>250</v>
      </c>
    </row>
    <row r="115" spans="1:13">
      <c r="A115">
        <v>114</v>
      </c>
      <c r="B115" t="s">
        <v>230</v>
      </c>
      <c r="C115" s="1">
        <v>44757</v>
      </c>
      <c r="D115" s="1">
        <v>44764</v>
      </c>
      <c r="E115">
        <v>7</v>
      </c>
      <c r="F115" t="s">
        <v>231</v>
      </c>
      <c r="G115">
        <v>27</v>
      </c>
      <c r="H115" t="s">
        <v>55</v>
      </c>
      <c r="I115" t="s">
        <v>116</v>
      </c>
      <c r="J115" t="s">
        <v>65</v>
      </c>
      <c r="K115">
        <v>1000</v>
      </c>
      <c r="L115" t="s">
        <v>232</v>
      </c>
      <c r="M115">
        <v>150</v>
      </c>
    </row>
    <row r="116" spans="1:13">
      <c r="A116">
        <v>115</v>
      </c>
      <c r="B116" t="s">
        <v>196</v>
      </c>
      <c r="C116" s="1">
        <v>44798</v>
      </c>
      <c r="D116" s="1">
        <v>44803</v>
      </c>
      <c r="E116">
        <v>5</v>
      </c>
      <c r="F116" t="s">
        <v>233</v>
      </c>
      <c r="G116">
        <v>29</v>
      </c>
      <c r="H116" t="s">
        <v>58</v>
      </c>
      <c r="I116" t="s">
        <v>234</v>
      </c>
      <c r="J116" t="s">
        <v>57</v>
      </c>
      <c r="K116">
        <v>1500</v>
      </c>
      <c r="L116" t="s">
        <v>111</v>
      </c>
      <c r="M116">
        <v>300</v>
      </c>
    </row>
    <row r="117" spans="1:13">
      <c r="A117">
        <v>116</v>
      </c>
      <c r="B117" t="s">
        <v>235</v>
      </c>
      <c r="C117" s="1">
        <v>44814</v>
      </c>
      <c r="D117" s="1">
        <v>44819</v>
      </c>
      <c r="E117">
        <v>5</v>
      </c>
      <c r="F117" t="s">
        <v>236</v>
      </c>
      <c r="G117">
        <v>33</v>
      </c>
      <c r="H117" t="s">
        <v>55</v>
      </c>
      <c r="I117" t="s">
        <v>237</v>
      </c>
      <c r="J117" t="s">
        <v>67</v>
      </c>
      <c r="K117">
        <v>200</v>
      </c>
      <c r="L117" t="s">
        <v>81</v>
      </c>
      <c r="M117">
        <v>500</v>
      </c>
    </row>
    <row r="118" spans="1:13">
      <c r="A118">
        <v>117</v>
      </c>
      <c r="B118" t="s">
        <v>31</v>
      </c>
      <c r="C118" s="1">
        <v>44597</v>
      </c>
      <c r="D118" s="1">
        <v>44606</v>
      </c>
      <c r="E118">
        <v>9</v>
      </c>
      <c r="F118" t="s">
        <v>106</v>
      </c>
      <c r="G118">
        <v>32</v>
      </c>
      <c r="H118" t="s">
        <v>58</v>
      </c>
      <c r="I118" t="s">
        <v>56</v>
      </c>
      <c r="J118" t="s">
        <v>57</v>
      </c>
      <c r="K118">
        <v>1000</v>
      </c>
      <c r="L118" t="s">
        <v>81</v>
      </c>
      <c r="M118">
        <v>700</v>
      </c>
    </row>
    <row r="119" spans="1:13">
      <c r="A119">
        <v>118</v>
      </c>
      <c r="B119" t="s">
        <v>23</v>
      </c>
      <c r="C119" s="1">
        <v>44635</v>
      </c>
      <c r="D119" s="1">
        <v>44642</v>
      </c>
      <c r="E119">
        <v>7</v>
      </c>
      <c r="F119" t="s">
        <v>108</v>
      </c>
      <c r="G119">
        <v>47</v>
      </c>
      <c r="H119" t="s">
        <v>55</v>
      </c>
      <c r="I119" t="s">
        <v>59</v>
      </c>
      <c r="J119" t="s">
        <v>57</v>
      </c>
      <c r="K119">
        <v>1200</v>
      </c>
      <c r="L119" t="s">
        <v>41</v>
      </c>
      <c r="M119">
        <v>500</v>
      </c>
    </row>
    <row r="120" spans="1:13">
      <c r="A120">
        <v>119</v>
      </c>
      <c r="B120" t="s">
        <v>187</v>
      </c>
      <c r="C120" s="1">
        <v>44682</v>
      </c>
      <c r="D120" s="1">
        <v>44693</v>
      </c>
      <c r="E120">
        <v>11</v>
      </c>
      <c r="F120" t="s">
        <v>238</v>
      </c>
      <c r="G120">
        <v>26</v>
      </c>
      <c r="H120" t="s">
        <v>58</v>
      </c>
      <c r="I120" t="s">
        <v>73</v>
      </c>
      <c r="J120" t="s">
        <v>65</v>
      </c>
      <c r="K120">
        <v>800</v>
      </c>
      <c r="L120" t="s">
        <v>81</v>
      </c>
      <c r="M120">
        <v>1000</v>
      </c>
    </row>
    <row r="121" spans="1:13">
      <c r="A121">
        <v>120</v>
      </c>
      <c r="B121" t="s">
        <v>154</v>
      </c>
      <c r="C121" s="1">
        <v>44722</v>
      </c>
      <c r="D121" s="1">
        <v>44729</v>
      </c>
      <c r="E121">
        <v>7</v>
      </c>
      <c r="F121" t="s">
        <v>8</v>
      </c>
      <c r="G121">
        <v>38</v>
      </c>
      <c r="H121" t="s">
        <v>55</v>
      </c>
      <c r="I121" t="s">
        <v>61</v>
      </c>
      <c r="J121" t="s">
        <v>57</v>
      </c>
      <c r="K121">
        <v>900</v>
      </c>
      <c r="L121" t="s">
        <v>41</v>
      </c>
      <c r="M121">
        <v>400</v>
      </c>
    </row>
    <row r="122" spans="1:13">
      <c r="A122">
        <v>121</v>
      </c>
      <c r="B122" t="s">
        <v>5</v>
      </c>
      <c r="C122" s="1">
        <v>44762</v>
      </c>
      <c r="D122" s="1">
        <v>44772</v>
      </c>
      <c r="E122">
        <v>10</v>
      </c>
      <c r="F122" t="s">
        <v>239</v>
      </c>
      <c r="G122">
        <v>29</v>
      </c>
      <c r="H122" t="s">
        <v>58</v>
      </c>
      <c r="I122" t="s">
        <v>61</v>
      </c>
      <c r="J122" t="s">
        <v>67</v>
      </c>
      <c r="K122">
        <v>500</v>
      </c>
      <c r="L122" t="s">
        <v>81</v>
      </c>
      <c r="M122">
        <v>800</v>
      </c>
    </row>
    <row r="123" spans="1:13">
      <c r="A123">
        <v>122</v>
      </c>
      <c r="B123" t="s">
        <v>11</v>
      </c>
      <c r="C123" s="1">
        <v>44781</v>
      </c>
      <c r="D123" s="1">
        <v>44789</v>
      </c>
      <c r="E123">
        <v>8</v>
      </c>
      <c r="F123" t="s">
        <v>240</v>
      </c>
      <c r="G123">
        <v>41</v>
      </c>
      <c r="H123" t="s">
        <v>55</v>
      </c>
      <c r="I123" t="s">
        <v>56</v>
      </c>
      <c r="J123" t="s">
        <v>57</v>
      </c>
      <c r="K123">
        <v>1300</v>
      </c>
      <c r="L123" t="s">
        <v>81</v>
      </c>
      <c r="M123">
        <v>600</v>
      </c>
    </row>
    <row r="124" spans="1:13">
      <c r="A124">
        <v>123</v>
      </c>
      <c r="B124" t="s">
        <v>241</v>
      </c>
      <c r="C124" s="1">
        <v>44824</v>
      </c>
      <c r="D124" s="1">
        <v>44834</v>
      </c>
      <c r="E124">
        <v>10</v>
      </c>
      <c r="F124" t="s">
        <v>242</v>
      </c>
      <c r="G124">
        <v>35</v>
      </c>
      <c r="H124" t="s">
        <v>58</v>
      </c>
      <c r="I124" t="s">
        <v>61</v>
      </c>
      <c r="J124" t="s">
        <v>65</v>
      </c>
      <c r="K124">
        <v>700</v>
      </c>
      <c r="L124" t="s">
        <v>81</v>
      </c>
      <c r="M124">
        <v>900</v>
      </c>
    </row>
    <row r="125" spans="1:13">
      <c r="A125">
        <v>124</v>
      </c>
      <c r="B125" t="s">
        <v>31</v>
      </c>
      <c r="C125" s="1">
        <v>44839</v>
      </c>
      <c r="D125" s="1">
        <v>44847</v>
      </c>
      <c r="E125">
        <v>8</v>
      </c>
      <c r="F125" t="s">
        <v>243</v>
      </c>
      <c r="G125">
        <v>24</v>
      </c>
      <c r="H125" t="s">
        <v>55</v>
      </c>
      <c r="I125" t="s">
        <v>61</v>
      </c>
      <c r="J125" t="s">
        <v>57</v>
      </c>
      <c r="K125">
        <v>1200</v>
      </c>
      <c r="L125" t="s">
        <v>81</v>
      </c>
      <c r="M125">
        <v>700</v>
      </c>
    </row>
    <row r="126" spans="1:13">
      <c r="A126">
        <v>125</v>
      </c>
      <c r="B126" t="s">
        <v>187</v>
      </c>
      <c r="C126" s="1">
        <v>44876</v>
      </c>
      <c r="D126" s="1">
        <v>44886</v>
      </c>
      <c r="E126">
        <v>10</v>
      </c>
      <c r="F126" t="s">
        <v>244</v>
      </c>
      <c r="G126">
        <v>30</v>
      </c>
      <c r="H126" t="s">
        <v>58</v>
      </c>
      <c r="I126" t="s">
        <v>73</v>
      </c>
      <c r="J126" t="s">
        <v>65</v>
      </c>
      <c r="K126">
        <v>900</v>
      </c>
      <c r="L126" t="s">
        <v>81</v>
      </c>
      <c r="M126">
        <v>1000</v>
      </c>
    </row>
    <row r="127" spans="1:13">
      <c r="A127">
        <v>126</v>
      </c>
      <c r="B127" t="s">
        <v>23</v>
      </c>
      <c r="C127" s="1">
        <v>44919</v>
      </c>
      <c r="D127" s="1">
        <v>44927</v>
      </c>
      <c r="E127">
        <v>8</v>
      </c>
      <c r="F127" t="s">
        <v>245</v>
      </c>
      <c r="G127">
        <v>28</v>
      </c>
      <c r="H127" t="s">
        <v>55</v>
      </c>
      <c r="I127" t="s">
        <v>56</v>
      </c>
      <c r="J127" t="s">
        <v>67</v>
      </c>
      <c r="K127">
        <v>400</v>
      </c>
      <c r="L127" t="s">
        <v>81</v>
      </c>
      <c r="M127">
        <v>700</v>
      </c>
    </row>
    <row r="128" spans="1:13">
      <c r="A128">
        <v>127</v>
      </c>
      <c r="B128" t="s">
        <v>5</v>
      </c>
      <c r="C128" s="1">
        <v>44967</v>
      </c>
      <c r="D128" s="1">
        <v>44975</v>
      </c>
      <c r="E128">
        <v>8</v>
      </c>
      <c r="F128" t="s">
        <v>246</v>
      </c>
      <c r="G128">
        <v>33</v>
      </c>
      <c r="H128" t="s">
        <v>58</v>
      </c>
      <c r="I128" t="s">
        <v>59</v>
      </c>
      <c r="J128" t="s">
        <v>57</v>
      </c>
      <c r="K128">
        <v>800</v>
      </c>
      <c r="L128" t="s">
        <v>81</v>
      </c>
      <c r="M128">
        <v>800</v>
      </c>
    </row>
    <row r="129" spans="1:13">
      <c r="A129">
        <v>128</v>
      </c>
    </row>
    <row r="130" spans="1:13">
      <c r="A130">
        <v>129</v>
      </c>
      <c r="B130" t="s">
        <v>23</v>
      </c>
      <c r="C130" s="1">
        <v>45047</v>
      </c>
      <c r="D130" s="1">
        <v>45053</v>
      </c>
      <c r="E130">
        <v>6</v>
      </c>
      <c r="F130" t="s">
        <v>247</v>
      </c>
      <c r="G130">
        <v>35</v>
      </c>
      <c r="H130" t="s">
        <v>55</v>
      </c>
      <c r="I130" t="s">
        <v>56</v>
      </c>
      <c r="J130" t="s">
        <v>57</v>
      </c>
      <c r="K130">
        <v>5000</v>
      </c>
      <c r="L130" t="s">
        <v>248</v>
      </c>
      <c r="M130">
        <v>2500</v>
      </c>
    </row>
    <row r="131" spans="1:13">
      <c r="A131">
        <v>130</v>
      </c>
      <c r="B131" t="s">
        <v>31</v>
      </c>
      <c r="C131" s="1">
        <v>45061</v>
      </c>
      <c r="D131" s="1">
        <v>45068</v>
      </c>
      <c r="E131">
        <v>7</v>
      </c>
      <c r="F131" t="s">
        <v>249</v>
      </c>
      <c r="G131">
        <v>28</v>
      </c>
      <c r="H131" t="s">
        <v>58</v>
      </c>
      <c r="I131" t="s">
        <v>63</v>
      </c>
      <c r="J131" t="s">
        <v>65</v>
      </c>
      <c r="K131">
        <v>7000</v>
      </c>
      <c r="L131" t="s">
        <v>41</v>
      </c>
      <c r="M131">
        <v>1500</v>
      </c>
    </row>
    <row r="132" spans="1:13">
      <c r="A132">
        <v>131</v>
      </c>
      <c r="B132" t="s">
        <v>250</v>
      </c>
      <c r="C132" s="1">
        <v>45078</v>
      </c>
      <c r="D132" s="1">
        <v>45087</v>
      </c>
      <c r="E132">
        <v>9</v>
      </c>
      <c r="F132" t="s">
        <v>251</v>
      </c>
      <c r="G132">
        <v>45</v>
      </c>
      <c r="H132" t="s">
        <v>55</v>
      </c>
      <c r="I132" t="s">
        <v>179</v>
      </c>
      <c r="J132" t="s">
        <v>67</v>
      </c>
      <c r="K132">
        <v>3000</v>
      </c>
      <c r="L132" t="s">
        <v>182</v>
      </c>
      <c r="M132">
        <v>2000</v>
      </c>
    </row>
    <row r="133" spans="1:13">
      <c r="A133">
        <v>132</v>
      </c>
      <c r="B133" t="s">
        <v>29</v>
      </c>
      <c r="C133" s="1">
        <v>45092</v>
      </c>
      <c r="D133" s="1">
        <v>45098</v>
      </c>
      <c r="E133">
        <v>6</v>
      </c>
      <c r="F133" t="s">
        <v>168</v>
      </c>
      <c r="G133">
        <v>31</v>
      </c>
      <c r="H133" t="s">
        <v>58</v>
      </c>
      <c r="I133" t="s">
        <v>66</v>
      </c>
      <c r="J133" t="s">
        <v>57</v>
      </c>
      <c r="K133">
        <v>6000</v>
      </c>
      <c r="L133" t="s">
        <v>248</v>
      </c>
      <c r="M133">
        <v>3000</v>
      </c>
    </row>
    <row r="134" spans="1:13">
      <c r="A134">
        <v>133</v>
      </c>
      <c r="B134" t="s">
        <v>154</v>
      </c>
      <c r="C134" s="1">
        <v>45108</v>
      </c>
      <c r="D134" s="1">
        <v>45115</v>
      </c>
      <c r="E134">
        <v>7</v>
      </c>
      <c r="F134" t="s">
        <v>102</v>
      </c>
      <c r="G134">
        <v>42</v>
      </c>
      <c r="H134" t="s">
        <v>55</v>
      </c>
      <c r="I134" t="s">
        <v>61</v>
      </c>
      <c r="J134" t="s">
        <v>65</v>
      </c>
      <c r="K134">
        <v>4000</v>
      </c>
      <c r="L134" t="s">
        <v>41</v>
      </c>
      <c r="M134">
        <v>1500</v>
      </c>
    </row>
    <row r="135" spans="1:13">
      <c r="A135">
        <v>134</v>
      </c>
      <c r="B135" t="s">
        <v>133</v>
      </c>
      <c r="C135" s="1">
        <v>45122</v>
      </c>
      <c r="D135" s="1">
        <v>45129</v>
      </c>
      <c r="E135">
        <v>7</v>
      </c>
      <c r="F135" t="s">
        <v>10</v>
      </c>
      <c r="G135">
        <v>27</v>
      </c>
      <c r="H135" t="s">
        <v>58</v>
      </c>
      <c r="I135" t="s">
        <v>56</v>
      </c>
      <c r="J135" t="s">
        <v>57</v>
      </c>
      <c r="K135">
        <v>8000</v>
      </c>
      <c r="L135" t="s">
        <v>248</v>
      </c>
      <c r="M135">
        <v>2500</v>
      </c>
    </row>
    <row r="136" spans="1:13">
      <c r="A136">
        <v>135</v>
      </c>
      <c r="B136" t="s">
        <v>27</v>
      </c>
      <c r="C136" s="1">
        <v>45139</v>
      </c>
      <c r="D136" s="1">
        <v>45148</v>
      </c>
      <c r="E136">
        <v>9</v>
      </c>
      <c r="F136" t="s">
        <v>252</v>
      </c>
      <c r="G136">
        <v>37</v>
      </c>
      <c r="H136" t="s">
        <v>55</v>
      </c>
      <c r="I136" t="s">
        <v>68</v>
      </c>
      <c r="J136" t="s">
        <v>67</v>
      </c>
      <c r="K136">
        <v>2500</v>
      </c>
      <c r="L136" t="s">
        <v>182</v>
      </c>
      <c r="M136">
        <v>2000</v>
      </c>
    </row>
    <row r="137" spans="1:13">
      <c r="A137">
        <v>136</v>
      </c>
      <c r="B137" t="s">
        <v>137</v>
      </c>
      <c r="C137" s="1">
        <v>45153</v>
      </c>
      <c r="D137" s="1">
        <v>45159</v>
      </c>
      <c r="E137">
        <v>6</v>
      </c>
      <c r="F137" t="s">
        <v>253</v>
      </c>
      <c r="G137">
        <v>29</v>
      </c>
      <c r="H137" t="s">
        <v>58</v>
      </c>
      <c r="I137" t="s">
        <v>59</v>
      </c>
      <c r="J137" t="s">
        <v>57</v>
      </c>
      <c r="K137">
        <v>5000</v>
      </c>
      <c r="L137" t="s">
        <v>248</v>
      </c>
      <c r="M137">
        <v>3000</v>
      </c>
    </row>
    <row r="138" spans="1:13">
      <c r="A138">
        <v>137</v>
      </c>
      <c r="B138" t="s">
        <v>135</v>
      </c>
      <c r="C138" s="1">
        <v>45170</v>
      </c>
      <c r="D138" s="1">
        <v>45177</v>
      </c>
      <c r="E138">
        <v>7</v>
      </c>
      <c r="F138" t="s">
        <v>254</v>
      </c>
      <c r="G138">
        <v>34</v>
      </c>
      <c r="H138" t="s">
        <v>55</v>
      </c>
      <c r="I138" t="s">
        <v>73</v>
      </c>
      <c r="J138" t="s">
        <v>67</v>
      </c>
      <c r="K138">
        <v>2000</v>
      </c>
      <c r="L138" t="s">
        <v>41</v>
      </c>
      <c r="M138">
        <v>1000</v>
      </c>
    </row>
    <row r="139" spans="1:13">
      <c r="A139">
        <v>138</v>
      </c>
      <c r="B139" t="s">
        <v>7</v>
      </c>
      <c r="C139" s="1">
        <v>45184</v>
      </c>
      <c r="D139" s="1">
        <v>45191</v>
      </c>
      <c r="E139">
        <v>7</v>
      </c>
      <c r="F139" t="s">
        <v>255</v>
      </c>
      <c r="G139">
        <v>25</v>
      </c>
      <c r="H139" t="s">
        <v>58</v>
      </c>
      <c r="I139" t="s">
        <v>72</v>
      </c>
      <c r="J139" t="s">
        <v>65</v>
      </c>
      <c r="K139">
        <v>6000</v>
      </c>
      <c r="L139" t="s">
        <v>248</v>
      </c>
      <c r="M139">
        <v>2500</v>
      </c>
    </row>
    <row r="140" spans="1:13">
      <c r="A140">
        <v>139</v>
      </c>
      <c r="B140" t="s">
        <v>256</v>
      </c>
      <c r="C140" s="1">
        <v>45200</v>
      </c>
      <c r="D140" s="1">
        <v>45207</v>
      </c>
      <c r="E140">
        <v>7</v>
      </c>
      <c r="F140" t="s">
        <v>257</v>
      </c>
      <c r="G140">
        <v>39</v>
      </c>
      <c r="H140" t="s">
        <v>55</v>
      </c>
      <c r="I140" t="s">
        <v>258</v>
      </c>
      <c r="J140" t="s">
        <v>57</v>
      </c>
      <c r="K140">
        <v>7000</v>
      </c>
      <c r="L140" t="s">
        <v>41</v>
      </c>
      <c r="M140">
        <v>2500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51"/>
  <sheetViews>
    <sheetView workbookViewId="0">
      <selection activeCell="I52" sqref="I52"/>
    </sheetView>
  </sheetViews>
  <sheetFormatPr defaultColWidth="9" defaultRowHeight="15"/>
  <cols>
    <col min="1" max="1" width="18.42578125" bestFit="1" customWidth="1"/>
    <col min="2" max="2" width="26.5703125" bestFit="1" customWidth="1"/>
    <col min="4" max="4" width="14.7109375" bestFit="1" customWidth="1"/>
    <col min="5" max="5" width="25" bestFit="1" customWidth="1"/>
    <col min="7" max="7" width="14.7109375" bestFit="1" customWidth="1"/>
    <col min="8" max="8" width="18.7109375" bestFit="1" customWidth="1"/>
    <col min="9" max="9" width="21.5703125" customWidth="1"/>
  </cols>
  <sheetData>
    <row r="3" spans="1:8">
      <c r="A3" s="6" t="s">
        <v>0</v>
      </c>
      <c r="B3" t="s">
        <v>1</v>
      </c>
      <c r="D3" s="6" t="s">
        <v>0</v>
      </c>
      <c r="E3" t="s">
        <v>1</v>
      </c>
      <c r="G3" s="6" t="s">
        <v>0</v>
      </c>
      <c r="H3" t="s">
        <v>2</v>
      </c>
    </row>
    <row r="4" spans="1:8">
      <c r="A4" s="3" t="s">
        <v>3</v>
      </c>
      <c r="B4" s="4">
        <v>9</v>
      </c>
      <c r="D4" s="3" t="s">
        <v>4</v>
      </c>
      <c r="E4" s="4">
        <v>11</v>
      </c>
      <c r="G4" s="3" t="s">
        <v>3</v>
      </c>
      <c r="H4" s="4">
        <v>7</v>
      </c>
    </row>
    <row r="5" spans="1:8">
      <c r="A5" s="3" t="s">
        <v>5</v>
      </c>
      <c r="B5" s="4">
        <v>3</v>
      </c>
      <c r="D5" s="3" t="s">
        <v>8</v>
      </c>
      <c r="E5" s="4">
        <v>3</v>
      </c>
      <c r="G5" s="3" t="s">
        <v>5</v>
      </c>
      <c r="H5" s="4">
        <v>7</v>
      </c>
    </row>
    <row r="6" spans="1:8">
      <c r="A6" s="3" t="s">
        <v>9</v>
      </c>
      <c r="B6" s="4">
        <v>14</v>
      </c>
      <c r="D6" s="3" t="s">
        <v>14</v>
      </c>
      <c r="E6" s="4">
        <v>14</v>
      </c>
      <c r="G6" s="3" t="s">
        <v>9</v>
      </c>
      <c r="H6" s="4">
        <v>9</v>
      </c>
    </row>
    <row r="7" spans="1:8">
      <c r="A7" s="3" t="s">
        <v>11</v>
      </c>
      <c r="B7" s="4">
        <v>11</v>
      </c>
      <c r="D7" s="3" t="s">
        <v>18</v>
      </c>
      <c r="E7" s="4">
        <v>1</v>
      </c>
      <c r="G7" s="3" t="s">
        <v>11</v>
      </c>
      <c r="H7" s="4">
        <v>7</v>
      </c>
    </row>
    <row r="8" spans="1:8">
      <c r="A8" s="3" t="s">
        <v>13</v>
      </c>
      <c r="B8" s="4">
        <v>10</v>
      </c>
      <c r="D8" s="3" t="s">
        <v>22</v>
      </c>
      <c r="E8" s="4">
        <v>9</v>
      </c>
      <c r="G8" s="3" t="s">
        <v>13</v>
      </c>
      <c r="H8" s="4">
        <v>7</v>
      </c>
    </row>
    <row r="9" spans="1:8">
      <c r="A9" s="3" t="s">
        <v>15</v>
      </c>
      <c r="B9" s="4">
        <v>13</v>
      </c>
      <c r="D9" s="3" t="s">
        <v>24</v>
      </c>
      <c r="E9" s="4">
        <v>13</v>
      </c>
      <c r="G9" s="3" t="s">
        <v>15</v>
      </c>
      <c r="H9" s="4">
        <v>8</v>
      </c>
    </row>
    <row r="10" spans="1:8">
      <c r="A10" s="3" t="s">
        <v>17</v>
      </c>
      <c r="B10" s="4">
        <v>1</v>
      </c>
      <c r="D10" s="3" t="s">
        <v>26</v>
      </c>
      <c r="E10" s="4">
        <v>8</v>
      </c>
      <c r="G10" s="3" t="s">
        <v>17</v>
      </c>
      <c r="H10" s="4">
        <v>7</v>
      </c>
    </row>
    <row r="11" spans="1:8">
      <c r="A11" s="3" t="s">
        <v>21</v>
      </c>
      <c r="B11" s="4">
        <v>4</v>
      </c>
      <c r="D11" s="3" t="s">
        <v>28</v>
      </c>
      <c r="E11" s="4">
        <v>6</v>
      </c>
      <c r="G11" s="3" t="s">
        <v>21</v>
      </c>
      <c r="H11" s="4">
        <v>14</v>
      </c>
    </row>
    <row r="12" spans="1:8">
      <c r="A12" s="3" t="s">
        <v>23</v>
      </c>
      <c r="B12" s="4">
        <v>6</v>
      </c>
      <c r="D12" s="3" t="s">
        <v>30</v>
      </c>
      <c r="E12" s="4">
        <v>10</v>
      </c>
      <c r="G12" s="3" t="s">
        <v>23</v>
      </c>
      <c r="H12" s="4">
        <v>5</v>
      </c>
    </row>
    <row r="13" spans="1:8">
      <c r="A13" s="3" t="s">
        <v>27</v>
      </c>
      <c r="B13" s="4">
        <v>8</v>
      </c>
      <c r="D13" s="3" t="s">
        <v>32</v>
      </c>
      <c r="E13" s="4">
        <v>4</v>
      </c>
      <c r="G13" s="3" t="s">
        <v>27</v>
      </c>
      <c r="H13" s="4">
        <v>7</v>
      </c>
    </row>
    <row r="14" spans="1:8">
      <c r="A14" s="3" t="s">
        <v>33</v>
      </c>
      <c r="B14" s="4">
        <v>79</v>
      </c>
      <c r="D14" s="3" t="s">
        <v>33</v>
      </c>
      <c r="E14" s="4">
        <v>79</v>
      </c>
      <c r="G14" s="3" t="s">
        <v>33</v>
      </c>
      <c r="H14" s="4">
        <v>78</v>
      </c>
    </row>
    <row r="18" spans="1:8">
      <c r="D18" s="7" t="s">
        <v>37</v>
      </c>
      <c r="E18" s="8">
        <v>19100</v>
      </c>
    </row>
    <row r="19" spans="1:8">
      <c r="D19" s="7" t="s">
        <v>38</v>
      </c>
      <c r="E19" s="8">
        <v>9500</v>
      </c>
    </row>
    <row r="20" spans="1:8">
      <c r="D20" s="7" t="s">
        <v>40</v>
      </c>
      <c r="E20" s="8">
        <v>114</v>
      </c>
    </row>
    <row r="22" spans="1:8">
      <c r="A22" s="6" t="s">
        <v>0</v>
      </c>
      <c r="B22" t="s">
        <v>34</v>
      </c>
      <c r="G22" s="6" t="s">
        <v>0</v>
      </c>
      <c r="H22" t="s">
        <v>36</v>
      </c>
    </row>
    <row r="23" spans="1:8">
      <c r="A23" s="3" t="s">
        <v>4</v>
      </c>
      <c r="B23" s="4">
        <v>1000</v>
      </c>
      <c r="G23" s="3" t="s">
        <v>4</v>
      </c>
      <c r="H23" s="4">
        <v>27</v>
      </c>
    </row>
    <row r="24" spans="1:8">
      <c r="A24" s="3" t="s">
        <v>8</v>
      </c>
      <c r="B24" s="4">
        <v>1000</v>
      </c>
      <c r="G24" s="3" t="s">
        <v>8</v>
      </c>
      <c r="H24" s="4">
        <v>45</v>
      </c>
    </row>
    <row r="25" spans="1:8">
      <c r="A25" s="3" t="s">
        <v>14</v>
      </c>
      <c r="B25" s="4">
        <v>1400</v>
      </c>
      <c r="D25" s="6" t="s">
        <v>0</v>
      </c>
      <c r="E25" t="s">
        <v>35</v>
      </c>
      <c r="G25" s="3" t="s">
        <v>14</v>
      </c>
      <c r="H25" s="4">
        <v>48</v>
      </c>
    </row>
    <row r="26" spans="1:8">
      <c r="A26" s="3" t="s">
        <v>18</v>
      </c>
      <c r="B26" s="4">
        <v>1200</v>
      </c>
      <c r="D26" s="3" t="s">
        <v>4</v>
      </c>
      <c r="E26" s="4">
        <v>500</v>
      </c>
      <c r="G26" s="3" t="s">
        <v>18</v>
      </c>
      <c r="H26" s="4">
        <v>35</v>
      </c>
    </row>
    <row r="27" spans="1:8">
      <c r="A27" s="3" t="s">
        <v>22</v>
      </c>
      <c r="B27" s="4">
        <v>1200</v>
      </c>
      <c r="D27" s="3" t="s">
        <v>8</v>
      </c>
      <c r="E27" s="4">
        <v>700</v>
      </c>
      <c r="G27" s="3" t="s">
        <v>22</v>
      </c>
      <c r="H27" s="4">
        <v>31</v>
      </c>
    </row>
    <row r="28" spans="1:8">
      <c r="A28" s="3" t="s">
        <v>24</v>
      </c>
      <c r="B28" s="4">
        <v>3000</v>
      </c>
      <c r="D28" s="3" t="s">
        <v>14</v>
      </c>
      <c r="E28" s="4">
        <v>700</v>
      </c>
      <c r="G28" s="3" t="s">
        <v>24</v>
      </c>
      <c r="H28" s="4">
        <v>29</v>
      </c>
    </row>
    <row r="29" spans="1:8">
      <c r="A29" s="3" t="s">
        <v>26</v>
      </c>
      <c r="B29" s="4">
        <v>900</v>
      </c>
      <c r="D29" s="3" t="s">
        <v>18</v>
      </c>
      <c r="E29" s="4">
        <v>600</v>
      </c>
      <c r="G29" s="3" t="s">
        <v>26</v>
      </c>
      <c r="H29" s="4">
        <v>25</v>
      </c>
    </row>
    <row r="30" spans="1:8">
      <c r="A30" s="3" t="s">
        <v>28</v>
      </c>
      <c r="B30" s="4">
        <v>1500</v>
      </c>
      <c r="D30" s="3" t="s">
        <v>22</v>
      </c>
      <c r="E30" s="4">
        <v>200</v>
      </c>
      <c r="G30" s="3" t="s">
        <v>28</v>
      </c>
      <c r="H30" s="4">
        <v>42</v>
      </c>
    </row>
    <row r="31" spans="1:8">
      <c r="A31" s="3" t="s">
        <v>30</v>
      </c>
      <c r="B31" s="4">
        <v>2500</v>
      </c>
      <c r="D31" s="3" t="s">
        <v>24</v>
      </c>
      <c r="E31" s="4">
        <v>1200</v>
      </c>
      <c r="G31" s="3" t="s">
        <v>30</v>
      </c>
      <c r="H31" s="4">
        <v>39</v>
      </c>
    </row>
    <row r="32" spans="1:8">
      <c r="A32" s="3" t="s">
        <v>32</v>
      </c>
      <c r="B32" s="4">
        <v>2000</v>
      </c>
      <c r="D32" s="3" t="s">
        <v>26</v>
      </c>
      <c r="E32" s="4">
        <v>600</v>
      </c>
      <c r="G32" s="3" t="s">
        <v>32</v>
      </c>
      <c r="H32" s="4">
        <v>29</v>
      </c>
    </row>
    <row r="33" spans="1:8">
      <c r="A33" s="3" t="s">
        <v>33</v>
      </c>
      <c r="B33" s="4">
        <v>15700</v>
      </c>
      <c r="D33" s="3" t="s">
        <v>28</v>
      </c>
      <c r="E33" s="4">
        <v>800</v>
      </c>
      <c r="G33" s="3" t="s">
        <v>33</v>
      </c>
      <c r="H33" s="4">
        <v>350</v>
      </c>
    </row>
    <row r="34" spans="1:8">
      <c r="D34" s="3" t="s">
        <v>30</v>
      </c>
      <c r="E34" s="4">
        <v>800</v>
      </c>
    </row>
    <row r="35" spans="1:8">
      <c r="D35" s="3" t="s">
        <v>32</v>
      </c>
      <c r="E35" s="4">
        <v>1000</v>
      </c>
    </row>
    <row r="36" spans="1:8">
      <c r="D36" s="3" t="s">
        <v>33</v>
      </c>
      <c r="E36" s="4">
        <v>7100</v>
      </c>
    </row>
    <row r="38" spans="1:8">
      <c r="A38" s="6" t="s">
        <v>0</v>
      </c>
    </row>
    <row r="39" spans="1:8">
      <c r="A39" s="3" t="s">
        <v>39</v>
      </c>
    </row>
    <row r="40" spans="1:8">
      <c r="A40" s="5" t="s">
        <v>4</v>
      </c>
    </row>
    <row r="41" spans="1:8">
      <c r="A41" s="5" t="s">
        <v>8</v>
      </c>
    </row>
    <row r="42" spans="1:8">
      <c r="A42" s="5" t="s">
        <v>14</v>
      </c>
    </row>
    <row r="43" spans="1:8">
      <c r="A43" s="5" t="s">
        <v>18</v>
      </c>
    </row>
    <row r="44" spans="1:8">
      <c r="A44" s="5" t="s">
        <v>24</v>
      </c>
    </row>
    <row r="45" spans="1:8">
      <c r="A45" s="5" t="s">
        <v>26</v>
      </c>
    </row>
    <row r="46" spans="1:8">
      <c r="A46" s="5" t="s">
        <v>28</v>
      </c>
    </row>
    <row r="47" spans="1:8">
      <c r="A47" s="5" t="s">
        <v>30</v>
      </c>
    </row>
    <row r="48" spans="1:8">
      <c r="A48" s="5" t="s">
        <v>32</v>
      </c>
    </row>
    <row r="49" spans="1:1">
      <c r="A49" s="3" t="s">
        <v>41</v>
      </c>
    </row>
    <row r="50" spans="1:1">
      <c r="A50" s="5" t="s">
        <v>22</v>
      </c>
    </row>
    <row r="51" spans="1:1">
      <c r="A51" s="3" t="s">
        <v>33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abSelected="1" workbookViewId="0">
      <selection activeCell="U16" sqref="U16"/>
    </sheetView>
  </sheetViews>
  <sheetFormatPr defaultColWidth="9" defaultRowHeight="1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Travel details dataset</vt:lpstr>
      <vt:lpstr>Pivot Table</vt:lpstr>
      <vt:lpstr>Dashboaard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Admin</cp:lastModifiedBy>
  <dcterms:created xsi:type="dcterms:W3CDTF">2025-09-01T05:00:00Z</dcterms:created>
  <dcterms:modified xsi:type="dcterms:W3CDTF">2025-10-03T16:29:13Z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BE7B44A0B86B4A2CBBD8D652F5AEB24F_13</vt:lpwstr>
  </property>
  <property fmtid="{D5CDD505-2E9C-101B-9397-08002B2CF9AE}" pid="3" name="KSOProductBuildVer">
    <vt:lpwstr>1033-12.2.0.22549</vt:lpwstr>
  </property>
</Properties>
</file>